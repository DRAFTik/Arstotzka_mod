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LipatovKA\Desktop\_Project Arstotzka\"/>
    </mc:Choice>
  </mc:AlternateContent>
  <xr:revisionPtr revIDLastSave="0" documentId="13_ncr:1_{C873689F-CF50-490C-A6CA-404E209213C8}" xr6:coauthVersionLast="47" xr6:coauthVersionMax="47" xr10:uidLastSave="{00000000-0000-0000-0000-000000000000}"/>
  <bookViews>
    <workbookView xWindow="-120" yWindow="-120" windowWidth="29040" windowHeight="18240" xr2:uid="{00000000-000D-0000-FFFF-FFFF00000000}"/>
  </bookViews>
  <sheets>
    <sheet name="База" sheetId="1" r:id="rId1"/>
    <sheet name="Провиант" sheetId="4" r:id="rId2"/>
    <sheet name="Энергия" sheetId="7" r:id="rId3"/>
    <sheet name="Распред нас" sheetId="2" r:id="rId4"/>
    <sheet name="Список" sheetId="5" r:id="rId5"/>
  </sheets>
  <definedNames>
    <definedName name="страны">Список!$A$1:$A$9</definedName>
    <definedName name="электричество">Список!$C$1:$C$2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" i="2" l="1"/>
  <c r="G1" i="2"/>
  <c r="G3" i="2"/>
  <c r="F2" i="2"/>
  <c r="G2" i="2" s="1"/>
  <c r="N6" i="1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E4" i="4"/>
  <c r="E5" i="4"/>
  <c r="E7" i="4"/>
  <c r="E8" i="4"/>
  <c r="E9" i="4"/>
  <c r="E10" i="4"/>
  <c r="E11" i="4"/>
  <c r="E3" i="4"/>
  <c r="E15" i="4" s="1"/>
  <c r="E16" i="4" s="1"/>
  <c r="C2" i="2"/>
  <c r="C3" i="2"/>
  <c r="C4" i="2"/>
  <c r="C5" i="2"/>
  <c r="C6" i="2"/>
  <c r="C7" i="2"/>
  <c r="C8" i="2"/>
  <c r="C9" i="2"/>
  <c r="C10" i="2"/>
  <c r="C11" i="2"/>
  <c r="C12" i="2"/>
  <c r="C1" i="2"/>
  <c r="H4" i="7"/>
  <c r="H5" i="7"/>
  <c r="H6" i="7"/>
  <c r="H7" i="7"/>
  <c r="H8" i="7"/>
  <c r="H9" i="7"/>
  <c r="H10" i="7"/>
  <c r="H11" i="7"/>
  <c r="H3" i="7"/>
  <c r="W4" i="1"/>
  <c r="W5" i="1"/>
  <c r="W6" i="1"/>
  <c r="W7" i="1"/>
  <c r="W8" i="1"/>
  <c r="W9" i="1"/>
  <c r="W10" i="1"/>
  <c r="W11" i="1"/>
  <c r="W3" i="1"/>
  <c r="V9" i="1"/>
  <c r="V8" i="1"/>
  <c r="V7" i="1"/>
  <c r="V6" i="1"/>
  <c r="V5" i="1"/>
  <c r="V3" i="1"/>
  <c r="V4" i="1"/>
  <c r="W4" i="7"/>
  <c r="W5" i="7"/>
  <c r="W6" i="7"/>
  <c r="W7" i="7"/>
  <c r="W8" i="7"/>
  <c r="W9" i="7"/>
  <c r="W10" i="7"/>
  <c r="W11" i="7"/>
  <c r="W3" i="7"/>
  <c r="F78" i="4"/>
  <c r="E79" i="4"/>
  <c r="F79" i="4" l="1"/>
  <c r="D28" i="2"/>
  <c r="B28" i="2" s="1"/>
  <c r="D30" i="2"/>
  <c r="B30" i="2" s="1"/>
  <c r="D27" i="2"/>
  <c r="B27" i="2" s="1"/>
  <c r="D29" i="2"/>
  <c r="B29" i="2" s="1"/>
  <c r="D31" i="2"/>
  <c r="B31" i="2" s="1"/>
  <c r="D20" i="2"/>
  <c r="B20" i="2" s="1"/>
  <c r="D13" i="2"/>
  <c r="B13" i="2" s="1"/>
  <c r="D24" i="2"/>
  <c r="B24" i="2" s="1"/>
  <c r="D23" i="2"/>
  <c r="B23" i="2" s="1"/>
  <c r="D19" i="2"/>
  <c r="B19" i="2" s="1"/>
  <c r="D15" i="2"/>
  <c r="B15" i="2" s="1"/>
  <c r="D16" i="2"/>
  <c r="B16" i="2" s="1"/>
  <c r="D26" i="2"/>
  <c r="B26" i="2" s="1"/>
  <c r="D22" i="2"/>
  <c r="B22" i="2" s="1"/>
  <c r="D18" i="2"/>
  <c r="B18" i="2" s="1"/>
  <c r="D14" i="2"/>
  <c r="B14" i="2" s="1"/>
  <c r="D25" i="2"/>
  <c r="B25" i="2" s="1"/>
  <c r="D21" i="2"/>
  <c r="B21" i="2" s="1"/>
  <c r="D17" i="2"/>
  <c r="B17" i="2" s="1"/>
  <c r="D11" i="2"/>
  <c r="B11" i="2" s="1"/>
  <c r="D7" i="2"/>
  <c r="B7" i="2" s="1"/>
  <c r="D3" i="2"/>
  <c r="B3" i="2" s="1"/>
  <c r="D10" i="2"/>
  <c r="B10" i="2" s="1"/>
  <c r="D6" i="2"/>
  <c r="B6" i="2" s="1"/>
  <c r="D2" i="2"/>
  <c r="B2" i="2" s="1"/>
  <c r="D4" i="2"/>
  <c r="B4" i="2" s="1"/>
  <c r="D5" i="2"/>
  <c r="B5" i="2" s="1"/>
  <c r="D9" i="2"/>
  <c r="B9" i="2" s="1"/>
  <c r="D1" i="2"/>
  <c r="B1" i="2" s="1"/>
  <c r="D12" i="2"/>
  <c r="B12" i="2" s="1"/>
  <c r="D8" i="2"/>
  <c r="B8" i="2" s="1"/>
  <c r="T3" i="7"/>
  <c r="T4" i="7"/>
  <c r="T5" i="7"/>
  <c r="T6" i="7"/>
  <c r="T7" i="7"/>
  <c r="T8" i="7"/>
  <c r="T9" i="7"/>
  <c r="T10" i="7"/>
  <c r="T11" i="7"/>
  <c r="F6" i="2" l="1"/>
  <c r="F5" i="2"/>
  <c r="E5" i="2"/>
  <c r="W17" i="4"/>
  <c r="W18" i="4"/>
  <c r="W19" i="4"/>
  <c r="V19" i="4" s="1"/>
  <c r="W20" i="4"/>
  <c r="V20" i="4" s="1"/>
  <c r="W21" i="4"/>
  <c r="V21" i="4" s="1"/>
  <c r="W22" i="4"/>
  <c r="V22" i="4" s="1"/>
  <c r="W23" i="4"/>
  <c r="W24" i="4"/>
  <c r="V24" i="4" s="1"/>
  <c r="W25" i="4"/>
  <c r="V25" i="4" s="1"/>
  <c r="W26" i="4"/>
  <c r="V26" i="4" s="1"/>
  <c r="W27" i="4"/>
  <c r="W28" i="4"/>
  <c r="V28" i="4" s="1"/>
  <c r="W29" i="4"/>
  <c r="V29" i="4" s="1"/>
  <c r="W30" i="4"/>
  <c r="V30" i="4" s="1"/>
  <c r="W31" i="4"/>
  <c r="W32" i="4"/>
  <c r="V32" i="4" s="1"/>
  <c r="W33" i="4"/>
  <c r="V33" i="4" s="1"/>
  <c r="W34" i="4"/>
  <c r="V34" i="4" s="1"/>
  <c r="W35" i="4"/>
  <c r="W36" i="4"/>
  <c r="V36" i="4" s="1"/>
  <c r="W37" i="4"/>
  <c r="V37" i="4" s="1"/>
  <c r="W38" i="4"/>
  <c r="V38" i="4" s="1"/>
  <c r="W39" i="4"/>
  <c r="W40" i="4"/>
  <c r="V40" i="4" s="1"/>
  <c r="W41" i="4"/>
  <c r="V41" i="4" s="1"/>
  <c r="W42" i="4"/>
  <c r="V42" i="4" s="1"/>
  <c r="W43" i="4"/>
  <c r="W44" i="4"/>
  <c r="V44" i="4" s="1"/>
  <c r="W45" i="4"/>
  <c r="V45" i="4" s="1"/>
  <c r="W46" i="4"/>
  <c r="V46" i="4" s="1"/>
  <c r="W47" i="4"/>
  <c r="W48" i="4"/>
  <c r="V48" i="4" s="1"/>
  <c r="W49" i="4"/>
  <c r="V49" i="4" s="1"/>
  <c r="W50" i="4"/>
  <c r="V50" i="4" s="1"/>
  <c r="W51" i="4"/>
  <c r="W52" i="4"/>
  <c r="V52" i="4" s="1"/>
  <c r="W53" i="4"/>
  <c r="V53" i="4" s="1"/>
  <c r="W54" i="4"/>
  <c r="V54" i="4" s="1"/>
  <c r="W55" i="4"/>
  <c r="W56" i="4"/>
  <c r="V56" i="4" s="1"/>
  <c r="W57" i="4"/>
  <c r="V57" i="4" s="1"/>
  <c r="W58" i="4"/>
  <c r="V58" i="4" s="1"/>
  <c r="W59" i="4"/>
  <c r="W60" i="4"/>
  <c r="V60" i="4" s="1"/>
  <c r="W61" i="4"/>
  <c r="V61" i="4" s="1"/>
  <c r="W62" i="4"/>
  <c r="V62" i="4" s="1"/>
  <c r="W63" i="4"/>
  <c r="W64" i="4"/>
  <c r="V64" i="4" s="1"/>
  <c r="W65" i="4"/>
  <c r="V65" i="4" s="1"/>
  <c r="W66" i="4"/>
  <c r="V66" i="4" s="1"/>
  <c r="W67" i="4"/>
  <c r="W68" i="4"/>
  <c r="V68" i="4" s="1"/>
  <c r="W69" i="4"/>
  <c r="V69" i="4" s="1"/>
  <c r="W70" i="4"/>
  <c r="V70" i="4" s="1"/>
  <c r="W71" i="4"/>
  <c r="W72" i="4"/>
  <c r="V72" i="4" s="1"/>
  <c r="W73" i="4"/>
  <c r="V73" i="4" s="1"/>
  <c r="W74" i="4"/>
  <c r="V74" i="4" s="1"/>
  <c r="W75" i="4"/>
  <c r="W76" i="4"/>
  <c r="V76" i="4" s="1"/>
  <c r="W77" i="4"/>
  <c r="V77" i="4" s="1"/>
  <c r="W78" i="4"/>
  <c r="V78" i="4" s="1"/>
  <c r="W79" i="4"/>
  <c r="W80" i="4"/>
  <c r="V80" i="4" s="1"/>
  <c r="W81" i="4"/>
  <c r="V81" i="4" s="1"/>
  <c r="W82" i="4"/>
  <c r="V82" i="4" s="1"/>
  <c r="W83" i="4"/>
  <c r="W84" i="4"/>
  <c r="V84" i="4" s="1"/>
  <c r="W85" i="4"/>
  <c r="V85" i="4" s="1"/>
  <c r="W86" i="4"/>
  <c r="V86" i="4" s="1"/>
  <c r="W87" i="4"/>
  <c r="W88" i="4"/>
  <c r="V88" i="4" s="1"/>
  <c r="W89" i="4"/>
  <c r="V89" i="4" s="1"/>
  <c r="W90" i="4"/>
  <c r="V90" i="4" s="1"/>
  <c r="W91" i="4"/>
  <c r="W92" i="4"/>
  <c r="V92" i="4" s="1"/>
  <c r="W93" i="4"/>
  <c r="V93" i="4" s="1"/>
  <c r="W94" i="4"/>
  <c r="V94" i="4" s="1"/>
  <c r="W95" i="4"/>
  <c r="W96" i="4"/>
  <c r="V96" i="4" s="1"/>
  <c r="W97" i="4"/>
  <c r="V97" i="4" s="1"/>
  <c r="W98" i="4"/>
  <c r="V98" i="4" s="1"/>
  <c r="W99" i="4"/>
  <c r="W100" i="4"/>
  <c r="V100" i="4" s="1"/>
  <c r="W101" i="4"/>
  <c r="V101" i="4" s="1"/>
  <c r="W102" i="4"/>
  <c r="V102" i="4" s="1"/>
  <c r="W103" i="4"/>
  <c r="W104" i="4"/>
  <c r="V104" i="4" s="1"/>
  <c r="W105" i="4"/>
  <c r="V105" i="4" s="1"/>
  <c r="W106" i="4"/>
  <c r="V106" i="4" s="1"/>
  <c r="W107" i="4"/>
  <c r="W108" i="4"/>
  <c r="V108" i="4" s="1"/>
  <c r="W109" i="4"/>
  <c r="V109" i="4" s="1"/>
  <c r="W110" i="4"/>
  <c r="V110" i="4" s="1"/>
  <c r="W111" i="4"/>
  <c r="W112" i="4"/>
  <c r="V112" i="4" s="1"/>
  <c r="W113" i="4"/>
  <c r="V113" i="4" s="1"/>
  <c r="W114" i="4"/>
  <c r="V114" i="4" s="1"/>
  <c r="W115" i="4"/>
  <c r="W116" i="4"/>
  <c r="V116" i="4" s="1"/>
  <c r="W117" i="4"/>
  <c r="V117" i="4" s="1"/>
  <c r="W118" i="4"/>
  <c r="V118" i="4" s="1"/>
  <c r="W119" i="4"/>
  <c r="W120" i="4"/>
  <c r="V120" i="4" s="1"/>
  <c r="W121" i="4"/>
  <c r="V121" i="4" s="1"/>
  <c r="W122" i="4"/>
  <c r="V122" i="4" s="1"/>
  <c r="W123" i="4"/>
  <c r="W124" i="4"/>
  <c r="V124" i="4" s="1"/>
  <c r="W125" i="4"/>
  <c r="V125" i="4" s="1"/>
  <c r="W126" i="4"/>
  <c r="V126" i="4" s="1"/>
  <c r="W127" i="4"/>
  <c r="W128" i="4"/>
  <c r="V128" i="4" s="1"/>
  <c r="W129" i="4"/>
  <c r="V129" i="4" s="1"/>
  <c r="W130" i="4"/>
  <c r="V130" i="4" s="1"/>
  <c r="W131" i="4"/>
  <c r="W132" i="4"/>
  <c r="V132" i="4" s="1"/>
  <c r="W133" i="4"/>
  <c r="V133" i="4" s="1"/>
  <c r="W134" i="4"/>
  <c r="V134" i="4" s="1"/>
  <c r="W135" i="4"/>
  <c r="W136" i="4"/>
  <c r="V136" i="4" s="1"/>
  <c r="W137" i="4"/>
  <c r="V137" i="4" s="1"/>
  <c r="W138" i="4"/>
  <c r="V138" i="4" s="1"/>
  <c r="W139" i="4"/>
  <c r="W140" i="4"/>
  <c r="V140" i="4" s="1"/>
  <c r="W141" i="4"/>
  <c r="V141" i="4" s="1"/>
  <c r="W142" i="4"/>
  <c r="V142" i="4" s="1"/>
  <c r="W143" i="4"/>
  <c r="W144" i="4"/>
  <c r="V144" i="4" s="1"/>
  <c r="W145" i="4"/>
  <c r="V145" i="4" s="1"/>
  <c r="W146" i="4"/>
  <c r="V146" i="4" s="1"/>
  <c r="W147" i="4"/>
  <c r="W148" i="4"/>
  <c r="V148" i="4" s="1"/>
  <c r="W149" i="4"/>
  <c r="V149" i="4" s="1"/>
  <c r="W150" i="4"/>
  <c r="V150" i="4" s="1"/>
  <c r="W151" i="4"/>
  <c r="W152" i="4"/>
  <c r="V152" i="4" s="1"/>
  <c r="W153" i="4"/>
  <c r="V153" i="4" s="1"/>
  <c r="W154" i="4"/>
  <c r="V154" i="4" s="1"/>
  <c r="W155" i="4"/>
  <c r="W156" i="4"/>
  <c r="V156" i="4" s="1"/>
  <c r="W157" i="4"/>
  <c r="V157" i="4" s="1"/>
  <c r="W158" i="4"/>
  <c r="V158" i="4" s="1"/>
  <c r="W159" i="4"/>
  <c r="W16" i="4"/>
  <c r="X96" i="4"/>
  <c r="X97" i="4"/>
  <c r="X98" i="4"/>
  <c r="X99" i="4"/>
  <c r="X100" i="4"/>
  <c r="X101" i="4"/>
  <c r="X102" i="4"/>
  <c r="X103" i="4"/>
  <c r="X104" i="4"/>
  <c r="X105" i="4"/>
  <c r="X106" i="4"/>
  <c r="X107" i="4"/>
  <c r="X108" i="4"/>
  <c r="X109" i="4"/>
  <c r="X110" i="4"/>
  <c r="X111" i="4"/>
  <c r="X112" i="4"/>
  <c r="X113" i="4"/>
  <c r="X114" i="4"/>
  <c r="X115" i="4"/>
  <c r="X116" i="4"/>
  <c r="X117" i="4"/>
  <c r="X118" i="4"/>
  <c r="X119" i="4"/>
  <c r="X120" i="4"/>
  <c r="X121" i="4"/>
  <c r="X122" i="4"/>
  <c r="X123" i="4"/>
  <c r="X124" i="4"/>
  <c r="X125" i="4"/>
  <c r="X126" i="4"/>
  <c r="X127" i="4"/>
  <c r="X128" i="4"/>
  <c r="X129" i="4"/>
  <c r="X130" i="4"/>
  <c r="X131" i="4"/>
  <c r="X132" i="4"/>
  <c r="X133" i="4"/>
  <c r="X134" i="4"/>
  <c r="X135" i="4"/>
  <c r="X136" i="4"/>
  <c r="X137" i="4"/>
  <c r="X138" i="4"/>
  <c r="X139" i="4"/>
  <c r="X140" i="4"/>
  <c r="X141" i="4"/>
  <c r="X142" i="4"/>
  <c r="X143" i="4"/>
  <c r="X144" i="4"/>
  <c r="X145" i="4"/>
  <c r="X146" i="4"/>
  <c r="X147" i="4"/>
  <c r="X148" i="4"/>
  <c r="X149" i="4"/>
  <c r="X150" i="4"/>
  <c r="X151" i="4"/>
  <c r="X152" i="4"/>
  <c r="X153" i="4"/>
  <c r="X154" i="4"/>
  <c r="X155" i="4"/>
  <c r="X156" i="4"/>
  <c r="X157" i="4"/>
  <c r="X158" i="4"/>
  <c r="X159" i="4"/>
  <c r="X17" i="4"/>
  <c r="X18" i="4"/>
  <c r="X19" i="4"/>
  <c r="X20" i="4"/>
  <c r="X21" i="4"/>
  <c r="X22" i="4"/>
  <c r="X23" i="4"/>
  <c r="X24" i="4"/>
  <c r="X25" i="4"/>
  <c r="X26" i="4"/>
  <c r="X27" i="4"/>
  <c r="X28" i="4"/>
  <c r="X29" i="4"/>
  <c r="X30" i="4"/>
  <c r="X31" i="4"/>
  <c r="X32" i="4"/>
  <c r="X33" i="4"/>
  <c r="X34" i="4"/>
  <c r="X35" i="4"/>
  <c r="X36" i="4"/>
  <c r="X37" i="4"/>
  <c r="X38" i="4"/>
  <c r="X39" i="4"/>
  <c r="X40" i="4"/>
  <c r="X41" i="4"/>
  <c r="X42" i="4"/>
  <c r="X43" i="4"/>
  <c r="X44" i="4"/>
  <c r="X45" i="4"/>
  <c r="X46" i="4"/>
  <c r="X47" i="4"/>
  <c r="X48" i="4"/>
  <c r="X49" i="4"/>
  <c r="X50" i="4"/>
  <c r="X51" i="4"/>
  <c r="X52" i="4"/>
  <c r="X53" i="4"/>
  <c r="X54" i="4"/>
  <c r="X55" i="4"/>
  <c r="X56" i="4"/>
  <c r="X57" i="4"/>
  <c r="X58" i="4"/>
  <c r="X59" i="4"/>
  <c r="X60" i="4"/>
  <c r="X61" i="4"/>
  <c r="X62" i="4"/>
  <c r="X63" i="4"/>
  <c r="X64" i="4"/>
  <c r="X65" i="4"/>
  <c r="X66" i="4"/>
  <c r="X67" i="4"/>
  <c r="X68" i="4"/>
  <c r="X69" i="4"/>
  <c r="X70" i="4"/>
  <c r="X71" i="4"/>
  <c r="X72" i="4"/>
  <c r="X73" i="4"/>
  <c r="X74" i="4"/>
  <c r="X75" i="4"/>
  <c r="X76" i="4"/>
  <c r="X77" i="4"/>
  <c r="X78" i="4"/>
  <c r="X79" i="4"/>
  <c r="X80" i="4"/>
  <c r="X81" i="4"/>
  <c r="X82" i="4"/>
  <c r="X83" i="4"/>
  <c r="X84" i="4"/>
  <c r="X85" i="4"/>
  <c r="X86" i="4"/>
  <c r="X87" i="4"/>
  <c r="X88" i="4"/>
  <c r="X89" i="4"/>
  <c r="X90" i="4"/>
  <c r="X91" i="4"/>
  <c r="X92" i="4"/>
  <c r="X93" i="4"/>
  <c r="X94" i="4"/>
  <c r="X95" i="4"/>
  <c r="X16" i="4"/>
  <c r="AA47" i="4"/>
  <c r="V23" i="4" l="1"/>
  <c r="V27" i="4" s="1"/>
  <c r="V31" i="4" s="1"/>
  <c r="V35" i="4" s="1"/>
  <c r="V39" i="4" s="1"/>
  <c r="V43" i="4" s="1"/>
  <c r="V47" i="4" s="1"/>
  <c r="V51" i="4" s="1"/>
  <c r="V55" i="4" s="1"/>
  <c r="V59" i="4" s="1"/>
  <c r="V63" i="4" s="1"/>
  <c r="V67" i="4" s="1"/>
  <c r="V71" i="4" s="1"/>
  <c r="V75" i="4" s="1"/>
  <c r="V79" i="4" s="1"/>
  <c r="V83" i="4" s="1"/>
  <c r="V87" i="4" s="1"/>
  <c r="V91" i="4" s="1"/>
  <c r="V95" i="4" s="1"/>
  <c r="V99" i="4" s="1"/>
  <c r="V103" i="4" s="1"/>
  <c r="V107" i="4" s="1"/>
  <c r="V111" i="4" s="1"/>
  <c r="V115" i="4" s="1"/>
  <c r="V119" i="4" s="1"/>
  <c r="V123" i="4" s="1"/>
  <c r="V127" i="4" s="1"/>
  <c r="V131" i="4" s="1"/>
  <c r="V135" i="4" s="1"/>
  <c r="V139" i="4" s="1"/>
  <c r="V143" i="4" s="1"/>
  <c r="V147" i="4" s="1"/>
  <c r="V151" i="4" s="1"/>
  <c r="V155" i="4" s="1"/>
  <c r="V159" i="4" s="1"/>
  <c r="U4" i="7"/>
  <c r="U5" i="7"/>
  <c r="U6" i="7"/>
  <c r="U7" i="7"/>
  <c r="U8" i="7"/>
  <c r="U9" i="7"/>
  <c r="U10" i="7"/>
  <c r="U11" i="7"/>
  <c r="U3" i="7"/>
  <c r="Q4" i="1"/>
  <c r="R4" i="1"/>
  <c r="Q5" i="1"/>
  <c r="R5" i="1"/>
  <c r="Q6" i="1"/>
  <c r="R6" i="1"/>
  <c r="Q7" i="1"/>
  <c r="R7" i="1"/>
  <c r="Q8" i="1"/>
  <c r="R8" i="1"/>
  <c r="T8" i="1"/>
  <c r="Q9" i="1"/>
  <c r="R9" i="1"/>
  <c r="Q10" i="1"/>
  <c r="R10" i="1"/>
  <c r="Q11" i="1"/>
  <c r="R11" i="1"/>
  <c r="R3" i="1"/>
  <c r="Q3" i="1"/>
  <c r="AD4" i="1"/>
  <c r="AD5" i="1"/>
  <c r="AD7" i="1"/>
  <c r="AD8" i="1"/>
  <c r="AD9" i="1"/>
  <c r="AD10" i="1"/>
  <c r="AD11" i="1"/>
  <c r="AD3" i="1"/>
  <c r="O4" i="1"/>
  <c r="O5" i="1"/>
  <c r="O6" i="1"/>
  <c r="O7" i="1"/>
  <c r="O8" i="1"/>
  <c r="O9" i="1"/>
  <c r="O10" i="1"/>
  <c r="O11" i="1"/>
  <c r="O3" i="1"/>
  <c r="C14" i="4"/>
  <c r="C12" i="4"/>
  <c r="C13" i="4" s="1"/>
  <c r="H4" i="4"/>
  <c r="H5" i="4"/>
  <c r="H6" i="4"/>
  <c r="H7" i="4"/>
  <c r="H8" i="4"/>
  <c r="H9" i="4"/>
  <c r="H10" i="4"/>
  <c r="H11" i="4"/>
  <c r="H3" i="4"/>
  <c r="T4" i="1"/>
  <c r="T5" i="1"/>
  <c r="T6" i="1"/>
  <c r="T7" i="1"/>
  <c r="T9" i="1"/>
  <c r="T10" i="1"/>
  <c r="T11" i="1"/>
  <c r="T3" i="1"/>
  <c r="E4" i="7"/>
  <c r="F4" i="7"/>
  <c r="G4" i="7"/>
  <c r="E5" i="7"/>
  <c r="F5" i="7"/>
  <c r="G5" i="7"/>
  <c r="E6" i="7"/>
  <c r="F6" i="7"/>
  <c r="G6" i="7"/>
  <c r="E7" i="7"/>
  <c r="F7" i="7"/>
  <c r="G7" i="7"/>
  <c r="E8" i="7"/>
  <c r="F8" i="7"/>
  <c r="G8" i="7"/>
  <c r="E9" i="7"/>
  <c r="F9" i="7"/>
  <c r="G9" i="7"/>
  <c r="E10" i="7"/>
  <c r="F10" i="7"/>
  <c r="G10" i="7"/>
  <c r="E11" i="7"/>
  <c r="F11" i="7"/>
  <c r="G11" i="7"/>
  <c r="F3" i="7"/>
  <c r="G3" i="7"/>
  <c r="E3" i="7"/>
  <c r="P3" i="1"/>
  <c r="P4" i="1"/>
  <c r="P5" i="1"/>
  <c r="P6" i="1"/>
  <c r="P7" i="1"/>
  <c r="P8" i="1"/>
  <c r="P9" i="1"/>
  <c r="P10" i="1"/>
  <c r="P11" i="1"/>
  <c r="N11" i="1"/>
  <c r="N10" i="1"/>
  <c r="N9" i="1"/>
  <c r="N8" i="1"/>
  <c r="N7" i="1"/>
  <c r="N5" i="1"/>
  <c r="N4" i="1"/>
  <c r="N3" i="1"/>
  <c r="M3" i="4"/>
  <c r="M17" i="4"/>
  <c r="A17" i="4" s="1"/>
  <c r="M18" i="4"/>
  <c r="A18" i="4" s="1"/>
  <c r="M19" i="4"/>
  <c r="A19" i="4" s="1"/>
  <c r="M20" i="4"/>
  <c r="A20" i="4" s="1"/>
  <c r="M21" i="4"/>
  <c r="A21" i="4" s="1"/>
  <c r="M22" i="4"/>
  <c r="A22" i="4" s="1"/>
  <c r="M23" i="4"/>
  <c r="A23" i="4" s="1"/>
  <c r="M24" i="4"/>
  <c r="N24" i="4" s="1"/>
  <c r="M25" i="4"/>
  <c r="A25" i="4" s="1"/>
  <c r="M26" i="4"/>
  <c r="A26" i="4" s="1"/>
  <c r="M27" i="4"/>
  <c r="A27" i="4" s="1"/>
  <c r="M28" i="4"/>
  <c r="N28" i="4" s="1"/>
  <c r="M29" i="4"/>
  <c r="A29" i="4" s="1"/>
  <c r="M30" i="4"/>
  <c r="A30" i="4" s="1"/>
  <c r="M31" i="4"/>
  <c r="A31" i="4" s="1"/>
  <c r="M32" i="4"/>
  <c r="K32" i="4" s="1"/>
  <c r="L32" i="4" s="1"/>
  <c r="M33" i="4"/>
  <c r="A33" i="4" s="1"/>
  <c r="M34" i="4"/>
  <c r="A34" i="4" s="1"/>
  <c r="M35" i="4"/>
  <c r="A35" i="4" s="1"/>
  <c r="M36" i="4"/>
  <c r="K36" i="4" s="1"/>
  <c r="L36" i="4" s="1"/>
  <c r="M37" i="4"/>
  <c r="A37" i="4" s="1"/>
  <c r="M38" i="4"/>
  <c r="A38" i="4" s="1"/>
  <c r="M39" i="4"/>
  <c r="A39" i="4" s="1"/>
  <c r="M40" i="4"/>
  <c r="K40" i="4" s="1"/>
  <c r="L40" i="4" s="1"/>
  <c r="M41" i="4"/>
  <c r="A41" i="4" s="1"/>
  <c r="M42" i="4"/>
  <c r="N42" i="4" s="1"/>
  <c r="M43" i="4"/>
  <c r="N43" i="4" s="1"/>
  <c r="M44" i="4"/>
  <c r="K44" i="4" s="1"/>
  <c r="L44" i="4" s="1"/>
  <c r="M45" i="4"/>
  <c r="A45" i="4" s="1"/>
  <c r="M46" i="4"/>
  <c r="N46" i="4" s="1"/>
  <c r="M47" i="4"/>
  <c r="A47" i="4" s="1"/>
  <c r="M48" i="4"/>
  <c r="K48" i="4" s="1"/>
  <c r="L48" i="4" s="1"/>
  <c r="M49" i="4"/>
  <c r="A49" i="4" s="1"/>
  <c r="M50" i="4"/>
  <c r="A50" i="4" s="1"/>
  <c r="M51" i="4"/>
  <c r="N51" i="4" s="1"/>
  <c r="M52" i="4"/>
  <c r="K52" i="4" s="1"/>
  <c r="L52" i="4" s="1"/>
  <c r="J52" i="4" s="1"/>
  <c r="M53" i="4"/>
  <c r="A53" i="4" s="1"/>
  <c r="M54" i="4"/>
  <c r="A54" i="4" s="1"/>
  <c r="M55" i="4"/>
  <c r="M56" i="4"/>
  <c r="N56" i="4" s="1"/>
  <c r="M57" i="4"/>
  <c r="A57" i="4" s="1"/>
  <c r="M58" i="4"/>
  <c r="A58" i="4" s="1"/>
  <c r="M59" i="4"/>
  <c r="K59" i="4" s="1"/>
  <c r="L59" i="4" s="1"/>
  <c r="J59" i="4" s="1"/>
  <c r="M60" i="4"/>
  <c r="N60" i="4" s="1"/>
  <c r="M61" i="4"/>
  <c r="A61" i="4" s="1"/>
  <c r="M62" i="4"/>
  <c r="A62" i="4" s="1"/>
  <c r="M63" i="4"/>
  <c r="K63" i="4" s="1"/>
  <c r="M16" i="4"/>
  <c r="A16" i="4" s="1"/>
  <c r="G4" i="4"/>
  <c r="K4" i="4" s="1"/>
  <c r="G5" i="4"/>
  <c r="K5" i="4" s="1"/>
  <c r="G7" i="4"/>
  <c r="K7" i="4" s="1"/>
  <c r="G8" i="4"/>
  <c r="K8" i="4" s="1"/>
  <c r="G9" i="4"/>
  <c r="K9" i="4" s="1"/>
  <c r="G10" i="4"/>
  <c r="K10" i="4" s="1"/>
  <c r="G11" i="4"/>
  <c r="K11" i="4" s="1"/>
  <c r="AE9" i="1" l="1"/>
  <c r="AE5" i="1"/>
  <c r="AE6" i="1"/>
  <c r="AE10" i="1"/>
  <c r="AE7" i="1"/>
  <c r="V11" i="7"/>
  <c r="V7" i="7"/>
  <c r="S7" i="1" s="1"/>
  <c r="AE11" i="1"/>
  <c r="V8" i="7"/>
  <c r="S8" i="1" s="1"/>
  <c r="V4" i="7"/>
  <c r="V9" i="7"/>
  <c r="S9" i="1" s="1"/>
  <c r="V5" i="7"/>
  <c r="X5" i="7" s="1"/>
  <c r="U5" i="1" s="1"/>
  <c r="V3" i="7"/>
  <c r="S3" i="1" s="1"/>
  <c r="V10" i="7"/>
  <c r="S10" i="1" s="1"/>
  <c r="V6" i="7"/>
  <c r="AE3" i="1"/>
  <c r="AE4" i="1"/>
  <c r="AE8" i="1"/>
  <c r="I3" i="4"/>
  <c r="I10" i="4"/>
  <c r="F10" i="4" s="1"/>
  <c r="I8" i="4"/>
  <c r="F8" i="4" s="1"/>
  <c r="I6" i="4"/>
  <c r="F6" i="4" s="1"/>
  <c r="I4" i="4"/>
  <c r="F4" i="4" s="1"/>
  <c r="I11" i="4"/>
  <c r="J11" i="4" s="1"/>
  <c r="I9" i="4"/>
  <c r="J9" i="4" s="1"/>
  <c r="I7" i="4"/>
  <c r="F7" i="4" s="1"/>
  <c r="I5" i="4"/>
  <c r="F5" i="4" s="1"/>
  <c r="N59" i="4"/>
  <c r="K62" i="4"/>
  <c r="L62" i="4" s="1"/>
  <c r="J62" i="4" s="1"/>
  <c r="K47" i="4"/>
  <c r="L47" i="4" s="1"/>
  <c r="N54" i="4"/>
  <c r="K58" i="4"/>
  <c r="L58" i="4" s="1"/>
  <c r="J58" i="4" s="1"/>
  <c r="K43" i="4"/>
  <c r="L43" i="4" s="1"/>
  <c r="N50" i="4"/>
  <c r="K55" i="4"/>
  <c r="K39" i="4"/>
  <c r="N27" i="4"/>
  <c r="K51" i="4"/>
  <c r="L51" i="4" s="1"/>
  <c r="K35" i="4"/>
  <c r="L35" i="4" s="1"/>
  <c r="N41" i="4"/>
  <c r="N32" i="4"/>
  <c r="A60" i="4"/>
  <c r="A48" i="4"/>
  <c r="A36" i="4"/>
  <c r="A28" i="4"/>
  <c r="A24" i="4"/>
  <c r="N62" i="4"/>
  <c r="N58" i="4"/>
  <c r="N53" i="4"/>
  <c r="N49" i="4"/>
  <c r="N44" i="4"/>
  <c r="N40" i="4"/>
  <c r="N35" i="4"/>
  <c r="N30" i="4"/>
  <c r="N26" i="4"/>
  <c r="K61" i="4"/>
  <c r="L61" i="4" s="1"/>
  <c r="K57" i="4"/>
  <c r="L57" i="4" s="1"/>
  <c r="J57" i="4" s="1"/>
  <c r="K54" i="4"/>
  <c r="L54" i="4" s="1"/>
  <c r="J54" i="4" s="1"/>
  <c r="K50" i="4"/>
  <c r="L50" i="4" s="1"/>
  <c r="K46" i="4"/>
  <c r="L46" i="4" s="1"/>
  <c r="K42" i="4"/>
  <c r="L42" i="4" s="1"/>
  <c r="K38" i="4"/>
  <c r="L38" i="4" s="1"/>
  <c r="K34" i="4"/>
  <c r="L34" i="4" s="1"/>
  <c r="A63" i="4"/>
  <c r="A59" i="4"/>
  <c r="A55" i="4"/>
  <c r="A51" i="4"/>
  <c r="A43" i="4"/>
  <c r="N45" i="4"/>
  <c r="N36" i="4"/>
  <c r="A56" i="4"/>
  <c r="A52" i="4"/>
  <c r="A44" i="4"/>
  <c r="A40" i="4"/>
  <c r="A32" i="4"/>
  <c r="N61" i="4"/>
  <c r="N57" i="4"/>
  <c r="N52" i="4"/>
  <c r="N48" i="4"/>
  <c r="N38" i="4"/>
  <c r="N34" i="4"/>
  <c r="N29" i="4"/>
  <c r="N25" i="4"/>
  <c r="K60" i="4"/>
  <c r="L60" i="4" s="1"/>
  <c r="J60" i="4" s="1"/>
  <c r="K56" i="4"/>
  <c r="L56" i="4" s="1"/>
  <c r="J56" i="4" s="1"/>
  <c r="K53" i="4"/>
  <c r="L53" i="4" s="1"/>
  <c r="K49" i="4"/>
  <c r="L49" i="4" s="1"/>
  <c r="K45" i="4"/>
  <c r="L45" i="4" s="1"/>
  <c r="K41" i="4"/>
  <c r="L41" i="4" s="1"/>
  <c r="K37" i="4"/>
  <c r="L37" i="4" s="1"/>
  <c r="K33" i="4"/>
  <c r="L33" i="4" s="1"/>
  <c r="A46" i="4"/>
  <c r="A42" i="4"/>
  <c r="N37" i="4"/>
  <c r="N33" i="4"/>
  <c r="L63" i="4"/>
  <c r="J63" i="4" s="1"/>
  <c r="J5" i="4" l="1"/>
  <c r="F9" i="4"/>
  <c r="F11" i="4"/>
  <c r="J10" i="4"/>
  <c r="X10" i="7"/>
  <c r="U10" i="1" s="1"/>
  <c r="Y3" i="7"/>
  <c r="Y17" i="7" s="1"/>
  <c r="Y5" i="7"/>
  <c r="S5" i="1"/>
  <c r="J8" i="4"/>
  <c r="L39" i="4"/>
  <c r="Z111" i="4"/>
  <c r="L55" i="4"/>
  <c r="J55" i="4" s="1"/>
  <c r="X8" i="7"/>
  <c r="U8" i="1" s="1"/>
  <c r="X11" i="7"/>
  <c r="U11" i="1" s="1"/>
  <c r="S11" i="1"/>
  <c r="Y10" i="7"/>
  <c r="Y7" i="7"/>
  <c r="X4" i="7"/>
  <c r="U4" i="1" s="1"/>
  <c r="S4" i="1"/>
  <c r="Y6" i="7"/>
  <c r="S6" i="1"/>
  <c r="X6" i="7"/>
  <c r="U6" i="1" s="1"/>
  <c r="J7" i="4"/>
  <c r="J6" i="4"/>
  <c r="J4" i="4"/>
  <c r="X9" i="7"/>
  <c r="U9" i="1" s="1"/>
  <c r="Y9" i="7"/>
  <c r="Y8" i="7"/>
  <c r="X7" i="7"/>
  <c r="U7" i="1" s="1"/>
  <c r="Y4" i="7"/>
  <c r="Y11" i="7"/>
  <c r="X3" i="7"/>
  <c r="U3" i="1" s="1"/>
  <c r="J53" i="4"/>
  <c r="J61" i="4"/>
  <c r="K17" i="4"/>
  <c r="K18" i="4"/>
  <c r="K19" i="4"/>
  <c r="K20" i="4"/>
  <c r="K21" i="4"/>
  <c r="K22" i="4"/>
  <c r="K23" i="4"/>
  <c r="Z47" i="4" s="1"/>
  <c r="K24" i="4"/>
  <c r="K25" i="4"/>
  <c r="K26" i="4"/>
  <c r="K27" i="4"/>
  <c r="K28" i="4"/>
  <c r="K29" i="4"/>
  <c r="K30" i="4"/>
  <c r="K31" i="4"/>
  <c r="Z79" i="4" s="1"/>
  <c r="K16" i="4"/>
  <c r="L16" i="4" s="1"/>
  <c r="G3" i="4"/>
  <c r="K3" i="4" s="1"/>
  <c r="Q3" i="4"/>
  <c r="Y21" i="7" l="1"/>
  <c r="Y16" i="7"/>
  <c r="S3" i="4"/>
  <c r="Q5" i="4" s="1"/>
  <c r="Y18" i="7"/>
  <c r="Y15" i="7"/>
  <c r="Y19" i="7"/>
  <c r="Y20" i="7"/>
  <c r="P3" i="4"/>
  <c r="F3" i="4"/>
  <c r="N3" i="4" s="1"/>
  <c r="X12" i="7"/>
  <c r="O3" i="4"/>
  <c r="J33" i="4"/>
  <c r="J34" i="4"/>
  <c r="J49" i="4"/>
  <c r="L18" i="4"/>
  <c r="J18" i="4" s="1"/>
  <c r="L17" i="4"/>
  <c r="J17" i="4" s="1"/>
  <c r="J16" i="4"/>
  <c r="J38" i="4"/>
  <c r="J47" i="4"/>
  <c r="J46" i="4"/>
  <c r="J45" i="4"/>
  <c r="L31" i="4"/>
  <c r="J31" i="4" s="1"/>
  <c r="Y79" i="4" s="1"/>
  <c r="L30" i="4"/>
  <c r="J30" i="4" s="1"/>
  <c r="J48" i="4"/>
  <c r="L29" i="4"/>
  <c r="J29" i="4" s="1"/>
  <c r="L22" i="4"/>
  <c r="J22" i="4" s="1"/>
  <c r="J32" i="4"/>
  <c r="L21" i="4"/>
  <c r="J21" i="4" s="1"/>
  <c r="J44" i="4"/>
  <c r="L28" i="4"/>
  <c r="J28" i="4" s="1"/>
  <c r="J43" i="4"/>
  <c r="L27" i="4"/>
  <c r="J27" i="4" s="1"/>
  <c r="J42" i="4"/>
  <c r="L26" i="4"/>
  <c r="J26" i="4" s="1"/>
  <c r="J41" i="4"/>
  <c r="L25" i="4"/>
  <c r="J25" i="4" s="1"/>
  <c r="J40" i="4"/>
  <c r="L24" i="4"/>
  <c r="J24" i="4" s="1"/>
  <c r="L23" i="4"/>
  <c r="L20" i="4"/>
  <c r="J20" i="4" s="1"/>
  <c r="J35" i="4"/>
  <c r="L19" i="4"/>
  <c r="J19" i="4" s="1"/>
  <c r="J36" i="4"/>
  <c r="J50" i="4"/>
  <c r="J37" i="4"/>
  <c r="J3" i="4"/>
  <c r="J12" i="4" s="1"/>
  <c r="T16" i="4" l="1"/>
  <c r="T17" i="4" s="1"/>
  <c r="T18" i="4" s="1"/>
  <c r="T19" i="4" s="1"/>
  <c r="T20" i="4" s="1"/>
  <c r="T21" i="4" s="1"/>
  <c r="T22" i="4" s="1"/>
  <c r="T23" i="4" s="1"/>
  <c r="T24" i="4" s="1"/>
  <c r="T25" i="4" s="1"/>
  <c r="T26" i="4" s="1"/>
  <c r="T27" i="4" s="1"/>
  <c r="T28" i="4" s="1"/>
  <c r="T29" i="4" s="1"/>
  <c r="T30" i="4" s="1"/>
  <c r="T31" i="4" s="1"/>
  <c r="T32" i="4" s="1"/>
  <c r="T33" i="4" s="1"/>
  <c r="T34" i="4" s="1"/>
  <c r="T35" i="4" s="1"/>
  <c r="T36" i="4" s="1"/>
  <c r="T37" i="4" s="1"/>
  <c r="T38" i="4" s="1"/>
  <c r="T39" i="4" s="1"/>
  <c r="T40" i="4" s="1"/>
  <c r="T41" i="4" s="1"/>
  <c r="T42" i="4" s="1"/>
  <c r="T43" i="4" s="1"/>
  <c r="T44" i="4" s="1"/>
  <c r="T45" i="4" s="1"/>
  <c r="T46" i="4" s="1"/>
  <c r="J23" i="4"/>
  <c r="G16" i="4"/>
  <c r="G17" i="4" s="1" a="1"/>
  <c r="G17" i="4" s="1"/>
  <c r="G18" i="4" s="1" a="1"/>
  <c r="G18" i="4" s="1"/>
  <c r="G19" i="4" s="1" a="1"/>
  <c r="G19" i="4" s="1"/>
  <c r="G20" i="4" s="1" a="1"/>
  <c r="G20" i="4" s="1"/>
  <c r="G21" i="4" s="1" a="1"/>
  <c r="G21" i="4" s="1"/>
  <c r="G22" i="4" s="1" a="1"/>
  <c r="G22" i="4" s="1"/>
  <c r="L21" i="1"/>
  <c r="N21" i="1" s="1"/>
  <c r="V21" i="1" s="1"/>
  <c r="AC6" i="1"/>
  <c r="AB7" i="1"/>
  <c r="AD6" i="1" l="1"/>
  <c r="E6" i="4"/>
  <c r="G6" i="4" s="1"/>
  <c r="K6" i="4" s="1"/>
  <c r="K12" i="4" s="1"/>
  <c r="Y47" i="4"/>
  <c r="T47" i="4" s="1"/>
  <c r="T48" i="4" s="1"/>
  <c r="T49" i="4" s="1"/>
  <c r="T50" i="4" s="1"/>
  <c r="T51" i="4" s="1"/>
  <c r="T52" i="4" s="1"/>
  <c r="T53" i="4" s="1"/>
  <c r="T54" i="4" s="1"/>
  <c r="T55" i="4" s="1"/>
  <c r="T56" i="4" s="1"/>
  <c r="T57" i="4" s="1"/>
  <c r="T58" i="4" s="1"/>
  <c r="T59" i="4" s="1"/>
  <c r="T60" i="4" s="1"/>
  <c r="T61" i="4" s="1"/>
  <c r="T62" i="4" s="1"/>
  <c r="T63" i="4" s="1"/>
  <c r="T64" i="4" s="1"/>
  <c r="T65" i="4" s="1"/>
  <c r="T66" i="4" s="1"/>
  <c r="T67" i="4" s="1"/>
  <c r="T68" i="4" s="1"/>
  <c r="T69" i="4" s="1"/>
  <c r="T70" i="4" s="1"/>
  <c r="T71" i="4" s="1"/>
  <c r="T72" i="4" s="1"/>
  <c r="T73" i="4" s="1"/>
  <c r="T74" i="4" s="1"/>
  <c r="T75" i="4" s="1"/>
  <c r="T76" i="4" s="1"/>
  <c r="T77" i="4" s="1"/>
  <c r="T78" i="4" s="1"/>
  <c r="T79" i="4" s="1"/>
  <c r="T80" i="4" s="1"/>
  <c r="T81" i="4" s="1"/>
  <c r="T82" i="4" s="1"/>
  <c r="T83" i="4" s="1"/>
  <c r="T84" i="4" s="1"/>
  <c r="T85" i="4" s="1"/>
  <c r="T86" i="4" s="1"/>
  <c r="T87" i="4" s="1"/>
  <c r="T88" i="4" s="1"/>
  <c r="T89" i="4" s="1"/>
  <c r="T90" i="4" s="1"/>
  <c r="T91" i="4" s="1"/>
  <c r="T92" i="4" s="1"/>
  <c r="T93" i="4" s="1"/>
  <c r="T94" i="4" s="1"/>
  <c r="T95" i="4" s="1"/>
  <c r="T96" i="4" s="1"/>
  <c r="T97" i="4" s="1"/>
  <c r="T98" i="4" s="1"/>
  <c r="T99" i="4" s="1"/>
  <c r="T100" i="4" s="1"/>
  <c r="T101" i="4" s="1"/>
  <c r="T102" i="4" s="1"/>
  <c r="T103" i="4" s="1"/>
  <c r="T104" i="4" s="1"/>
  <c r="T105" i="4" s="1"/>
  <c r="T106" i="4" s="1"/>
  <c r="T107" i="4" s="1"/>
  <c r="T108" i="4" s="1"/>
  <c r="T109" i="4" s="1"/>
  <c r="T110" i="4" s="1"/>
  <c r="G23" i="4" a="1"/>
  <c r="G23" i="4" s="1"/>
  <c r="G24" i="4" s="1" a="1"/>
  <c r="G24" i="4" s="1"/>
  <c r="G25" i="4" s="1" a="1"/>
  <c r="G25" i="4" s="1"/>
  <c r="G26" i="4" s="1" a="1"/>
  <c r="G26" i="4" s="1"/>
  <c r="G27" i="4" s="1" a="1"/>
  <c r="G27" i="4" s="1"/>
  <c r="G28" i="4" s="1" a="1"/>
  <c r="G28" i="4" s="1"/>
  <c r="G29" i="4" s="1" a="1"/>
  <c r="G29" i="4" s="1"/>
  <c r="G30" i="4" s="1" a="1"/>
  <c r="G30" i="4" s="1"/>
  <c r="G31" i="4" s="1" a="1"/>
  <c r="G31" i="4" s="1"/>
  <c r="G32" i="4" s="1" a="1"/>
  <c r="G32" i="4" s="1"/>
  <c r="G33" i="4" s="1" a="1"/>
  <c r="G33" i="4" s="1"/>
  <c r="G34" i="4" s="1" a="1"/>
  <c r="G34" i="4" s="1"/>
  <c r="G35" i="4" s="1" a="1"/>
  <c r="G35" i="4" s="1"/>
  <c r="G36" i="4" s="1" a="1"/>
  <c r="G36" i="4" s="1"/>
  <c r="G37" i="4" s="1" a="1"/>
  <c r="G37" i="4" s="1"/>
  <c r="G38" i="4" s="1" a="1"/>
  <c r="G38" i="4" s="1"/>
  <c r="U17" i="4"/>
  <c r="U16" i="4"/>
  <c r="N31" i="4"/>
  <c r="H16" i="4"/>
  <c r="I16" i="4"/>
  <c r="I17" i="4"/>
  <c r="H17" i="4"/>
  <c r="AD12" i="1"/>
  <c r="Z9" i="1"/>
  <c r="Z3" i="1"/>
  <c r="X3" i="1"/>
  <c r="Y3" i="1"/>
  <c r="AQ4" i="1"/>
  <c r="AQ5" i="1"/>
  <c r="AQ6" i="1"/>
  <c r="AQ7" i="1"/>
  <c r="AQ8" i="1"/>
  <c r="AQ9" i="1"/>
  <c r="AQ10" i="1"/>
  <c r="AQ11" i="1"/>
  <c r="AQ3" i="1"/>
  <c r="F4" i="1"/>
  <c r="F5" i="1"/>
  <c r="F6" i="1"/>
  <c r="F7" i="1"/>
  <c r="F8" i="1"/>
  <c r="F9" i="1"/>
  <c r="F10" i="1"/>
  <c r="F11" i="1"/>
  <c r="F3" i="1"/>
  <c r="AB3" i="1"/>
  <c r="L4" i="1"/>
  <c r="L5" i="1"/>
  <c r="L6" i="1"/>
  <c r="L7" i="1"/>
  <c r="L8" i="1"/>
  <c r="L9" i="1"/>
  <c r="L10" i="1"/>
  <c r="L11" i="1"/>
  <c r="L3" i="1"/>
  <c r="Z11" i="1"/>
  <c r="Y9" i="1"/>
  <c r="Y8" i="1"/>
  <c r="Z8" i="1"/>
  <c r="X8" i="1"/>
  <c r="Z7" i="1"/>
  <c r="Y7" i="1"/>
  <c r="AB6" i="1"/>
  <c r="X6" i="1"/>
  <c r="Z6" i="1"/>
  <c r="Y6" i="1"/>
  <c r="AB5" i="1"/>
  <c r="Z5" i="1"/>
  <c r="X5" i="1"/>
  <c r="AA5" i="1"/>
  <c r="Y5" i="1"/>
  <c r="X4" i="1"/>
  <c r="Y4" i="1"/>
  <c r="AB4" i="1"/>
  <c r="Z4" i="1"/>
  <c r="U18" i="4" l="1"/>
  <c r="N39" i="4"/>
  <c r="AA111" i="4" s="1"/>
  <c r="AA79" i="4"/>
  <c r="I18" i="4"/>
  <c r="J39" i="4"/>
  <c r="Y111" i="4" s="1"/>
  <c r="T111" i="4" s="1"/>
  <c r="T112" i="4" s="1"/>
  <c r="T113" i="4" s="1"/>
  <c r="T114" i="4" s="1"/>
  <c r="T115" i="4" s="1"/>
  <c r="T116" i="4" s="1"/>
  <c r="T117" i="4" s="1"/>
  <c r="T118" i="4" s="1"/>
  <c r="T119" i="4" s="1"/>
  <c r="T120" i="4" s="1"/>
  <c r="T121" i="4" s="1"/>
  <c r="T122" i="4" s="1"/>
  <c r="T123" i="4" s="1"/>
  <c r="T124" i="4" s="1"/>
  <c r="T125" i="4" s="1"/>
  <c r="T126" i="4" s="1"/>
  <c r="T127" i="4" s="1"/>
  <c r="T128" i="4" s="1"/>
  <c r="T129" i="4" s="1"/>
  <c r="T130" i="4" s="1"/>
  <c r="T131" i="4" s="1"/>
  <c r="T132" i="4" s="1"/>
  <c r="T133" i="4" s="1"/>
  <c r="T134" i="4" s="1"/>
  <c r="T135" i="4" s="1"/>
  <c r="T136" i="4" s="1"/>
  <c r="T137" i="4" s="1"/>
  <c r="T138" i="4" s="1"/>
  <c r="T139" i="4" s="1"/>
  <c r="T140" i="4" s="1"/>
  <c r="T141" i="4" s="1"/>
  <c r="T142" i="4" s="1"/>
  <c r="T143" i="4" s="1"/>
  <c r="T144" i="4" s="1"/>
  <c r="T145" i="4" s="1"/>
  <c r="T146" i="4" s="1"/>
  <c r="T147" i="4" s="1"/>
  <c r="T148" i="4" s="1"/>
  <c r="T149" i="4" s="1"/>
  <c r="T150" i="4" s="1"/>
  <c r="T151" i="4" s="1"/>
  <c r="T152" i="4" s="1"/>
  <c r="T153" i="4" s="1"/>
  <c r="T154" i="4" s="1"/>
  <c r="T155" i="4" s="1"/>
  <c r="T156" i="4" s="1"/>
  <c r="T157" i="4" s="1"/>
  <c r="T158" i="4" s="1"/>
  <c r="T159" i="4" s="1"/>
  <c r="H18" i="4"/>
  <c r="G39" i="4" l="1" a="1"/>
  <c r="G39" i="4" s="1"/>
  <c r="G40" i="4" s="1" a="1"/>
  <c r="G40" i="4" s="1"/>
  <c r="G41" i="4" s="1" a="1"/>
  <c r="G41" i="4" s="1"/>
  <c r="G42" i="4" s="1" a="1"/>
  <c r="G42" i="4" s="1"/>
  <c r="G43" i="4" s="1" a="1"/>
  <c r="G43" i="4" s="1"/>
  <c r="G44" i="4" s="1" a="1"/>
  <c r="G44" i="4" s="1"/>
  <c r="G45" i="4" s="1" a="1"/>
  <c r="G45" i="4" s="1"/>
  <c r="G46" i="4" s="1" a="1"/>
  <c r="G46" i="4" s="1"/>
  <c r="G47" i="4" s="1" a="1"/>
  <c r="G47" i="4" s="1"/>
  <c r="G48" i="4" s="1" a="1"/>
  <c r="G48" i="4" s="1"/>
  <c r="G49" i="4" s="1" a="1"/>
  <c r="G49" i="4" s="1"/>
  <c r="G50" i="4" s="1" a="1"/>
  <c r="G50" i="4" s="1"/>
  <c r="G51" i="4" s="1" a="1"/>
  <c r="G51" i="4" s="1"/>
  <c r="G52" i="4" s="1" a="1"/>
  <c r="G52" i="4" s="1"/>
  <c r="G53" i="4" s="1" a="1"/>
  <c r="G53" i="4" s="1"/>
  <c r="G54" i="4" s="1" a="1"/>
  <c r="G54" i="4" s="1"/>
  <c r="G55" i="4" s="1" a="1"/>
  <c r="G55" i="4" s="1"/>
  <c r="G56" i="4" s="1" a="1"/>
  <c r="G56" i="4" s="1"/>
  <c r="G57" i="4" s="1" a="1"/>
  <c r="G57" i="4" s="1"/>
  <c r="G58" i="4" s="1" a="1"/>
  <c r="G58" i="4" s="1"/>
  <c r="G59" i="4" s="1" a="1"/>
  <c r="G59" i="4" s="1"/>
  <c r="G60" i="4" s="1" a="1"/>
  <c r="G60" i="4" s="1"/>
  <c r="G61" i="4" s="1" a="1"/>
  <c r="G61" i="4" s="1"/>
  <c r="G62" i="4" s="1" a="1"/>
  <c r="G62" i="4" s="1"/>
  <c r="G63" i="4" s="1" a="1"/>
  <c r="G63" i="4" s="1"/>
  <c r="U19" i="4"/>
  <c r="I19" i="4"/>
  <c r="N47" i="4"/>
  <c r="N55" i="4" s="1"/>
  <c r="H19" i="4"/>
  <c r="U20" i="4" l="1"/>
  <c r="N63" i="4"/>
  <c r="I20" i="4"/>
  <c r="J51" i="4"/>
  <c r="H20" i="4"/>
  <c r="U21" i="4" l="1"/>
  <c r="I21" i="4"/>
  <c r="H21" i="4"/>
  <c r="U22" i="4" l="1"/>
  <c r="I22" i="4"/>
  <c r="H22" i="4"/>
  <c r="U23" i="4" l="1"/>
  <c r="I23" i="4"/>
  <c r="H23" i="4"/>
  <c r="U24" i="4" l="1"/>
  <c r="I24" i="4"/>
  <c r="H24" i="4"/>
  <c r="U25" i="4" l="1"/>
  <c r="I25" i="4"/>
  <c r="H25" i="4"/>
  <c r="U26" i="4" l="1"/>
  <c r="I26" i="4"/>
  <c r="H26" i="4"/>
  <c r="U27" i="4" l="1"/>
  <c r="I27" i="4"/>
  <c r="H27" i="4"/>
  <c r="U28" i="4" l="1"/>
  <c r="I28" i="4"/>
  <c r="H28" i="4"/>
  <c r="U29" i="4" l="1"/>
  <c r="I29" i="4"/>
  <c r="H29" i="4"/>
  <c r="U30" i="4" l="1"/>
  <c r="I30" i="4"/>
  <c r="H30" i="4"/>
  <c r="U31" i="4" l="1"/>
  <c r="I31" i="4"/>
  <c r="H31" i="4"/>
  <c r="U32" i="4" l="1"/>
  <c r="I32" i="4"/>
  <c r="H32" i="4"/>
  <c r="U33" i="4" l="1"/>
  <c r="I33" i="4"/>
  <c r="H33" i="4"/>
  <c r="U34" i="4" l="1"/>
  <c r="I34" i="4"/>
  <c r="H34" i="4"/>
  <c r="U35" i="4" l="1"/>
  <c r="I35" i="4"/>
  <c r="H35" i="4"/>
  <c r="U36" i="4" l="1"/>
  <c r="I36" i="4"/>
  <c r="H36" i="4"/>
  <c r="U37" i="4" l="1"/>
  <c r="I37" i="4"/>
  <c r="H37" i="4"/>
  <c r="U38" i="4" l="1"/>
  <c r="I38" i="4"/>
  <c r="H38" i="4"/>
  <c r="U39" i="4" l="1"/>
  <c r="I39" i="4"/>
  <c r="H39" i="4"/>
  <c r="U40" i="4" l="1"/>
  <c r="I40" i="4"/>
  <c r="H40" i="4"/>
  <c r="U41" i="4" l="1"/>
  <c r="I41" i="4"/>
  <c r="H41" i="4"/>
  <c r="U42" i="4" l="1"/>
  <c r="I42" i="4"/>
  <c r="H42" i="4"/>
  <c r="U43" i="4" l="1"/>
  <c r="I43" i="4"/>
  <c r="H43" i="4"/>
  <c r="U44" i="4" l="1"/>
  <c r="I44" i="4"/>
  <c r="H44" i="4"/>
  <c r="U45" i="4" l="1"/>
  <c r="I45" i="4"/>
  <c r="H45" i="4"/>
  <c r="U46" i="4" l="1"/>
  <c r="I46" i="4"/>
  <c r="H46" i="4"/>
  <c r="U47" i="4" l="1"/>
  <c r="I47" i="4"/>
  <c r="H47" i="4"/>
  <c r="U48" i="4" l="1"/>
  <c r="I48" i="4"/>
  <c r="H48" i="4"/>
  <c r="U49" i="4" l="1"/>
  <c r="I49" i="4"/>
  <c r="H49" i="4"/>
  <c r="U50" i="4" l="1"/>
  <c r="I50" i="4"/>
  <c r="H50" i="4"/>
  <c r="U51" i="4" l="1"/>
  <c r="I51" i="4"/>
  <c r="H51" i="4"/>
  <c r="U52" i="4" l="1"/>
  <c r="I52" i="4"/>
  <c r="H52" i="4"/>
  <c r="U53" i="4" l="1"/>
  <c r="I53" i="4"/>
  <c r="H53" i="4"/>
  <c r="U54" i="4" l="1"/>
  <c r="I54" i="4"/>
  <c r="H54" i="4"/>
  <c r="U55" i="4" l="1"/>
  <c r="I55" i="4"/>
  <c r="H55" i="4"/>
  <c r="U56" i="4" l="1"/>
  <c r="I56" i="4"/>
  <c r="H56" i="4"/>
  <c r="U57" i="4" l="1"/>
  <c r="I57" i="4"/>
  <c r="H57" i="4"/>
  <c r="U58" i="4" l="1"/>
  <c r="I58" i="4"/>
  <c r="H58" i="4"/>
  <c r="U59" i="4" l="1"/>
  <c r="I59" i="4"/>
  <c r="H59" i="4"/>
  <c r="U60" i="4" l="1"/>
  <c r="I60" i="4"/>
  <c r="H60" i="4"/>
  <c r="U61" i="4" l="1"/>
  <c r="I61" i="4"/>
  <c r="H61" i="4"/>
  <c r="U62" i="4" l="1"/>
  <c r="I63" i="4"/>
  <c r="I62" i="4"/>
  <c r="H62" i="4"/>
  <c r="U63" i="4" l="1"/>
  <c r="H63" i="4"/>
  <c r="U64" i="4" l="1"/>
  <c r="U65" i="4" l="1"/>
  <c r="U66" i="4" l="1"/>
  <c r="U67" i="4" l="1"/>
  <c r="U68" i="4" l="1"/>
  <c r="U69" i="4" l="1"/>
  <c r="U70" i="4" l="1"/>
  <c r="U71" i="4" l="1"/>
  <c r="U72" i="4" l="1"/>
  <c r="U73" i="4" l="1"/>
  <c r="U74" i="4" l="1"/>
  <c r="U75" i="4" l="1"/>
  <c r="U76" i="4" l="1"/>
  <c r="U77" i="4" l="1"/>
  <c r="U78" i="4" l="1"/>
  <c r="U79" i="4" l="1"/>
  <c r="U80" i="4" l="1"/>
  <c r="U81" i="4" l="1"/>
  <c r="U82" i="4" l="1"/>
  <c r="U83" i="4" l="1"/>
  <c r="U84" i="4" l="1"/>
  <c r="U85" i="4" l="1"/>
  <c r="U86" i="4" l="1"/>
  <c r="U87" i="4" l="1"/>
  <c r="U88" i="4" l="1"/>
  <c r="U89" i="4" l="1"/>
  <c r="U90" i="4" l="1"/>
  <c r="U91" i="4" l="1"/>
  <c r="U92" i="4" l="1"/>
  <c r="U93" i="4" l="1"/>
  <c r="U94" i="4" l="1"/>
  <c r="U95" i="4" l="1"/>
  <c r="U96" i="4" l="1"/>
  <c r="U97" i="4" l="1"/>
  <c r="U98" i="4" l="1"/>
  <c r="U99" i="4" l="1"/>
  <c r="U100" i="4" l="1"/>
  <c r="U101" i="4" l="1"/>
  <c r="U102" i="4" l="1"/>
  <c r="U103" i="4" l="1"/>
  <c r="U104" i="4" l="1"/>
  <c r="U105" i="4" l="1"/>
  <c r="U106" i="4" l="1"/>
  <c r="U107" i="4" l="1"/>
  <c r="U108" i="4" l="1"/>
  <c r="U109" i="4" l="1"/>
  <c r="U110" i="4" l="1"/>
  <c r="U111" i="4" l="1"/>
  <c r="U112" i="4" l="1"/>
  <c r="U113" i="4" l="1"/>
  <c r="U114" i="4" l="1"/>
  <c r="U115" i="4" l="1"/>
  <c r="U116" i="4" l="1"/>
  <c r="U117" i="4" l="1"/>
  <c r="U118" i="4" l="1"/>
  <c r="U119" i="4" l="1"/>
  <c r="U120" i="4" l="1"/>
  <c r="U121" i="4" l="1"/>
  <c r="U122" i="4" l="1"/>
  <c r="U123" i="4" l="1"/>
  <c r="U124" i="4" l="1"/>
  <c r="U125" i="4" l="1"/>
  <c r="U126" i="4" l="1"/>
  <c r="U127" i="4" l="1"/>
  <c r="U128" i="4" l="1"/>
  <c r="U129" i="4" l="1"/>
  <c r="U130" i="4" l="1"/>
  <c r="U131" i="4" l="1"/>
  <c r="U132" i="4" l="1"/>
  <c r="U133" i="4" l="1"/>
  <c r="U134" i="4" l="1"/>
  <c r="U135" i="4" l="1"/>
  <c r="U136" i="4" l="1"/>
  <c r="U137" i="4" l="1"/>
  <c r="U138" i="4" l="1"/>
  <c r="U139" i="4" l="1"/>
  <c r="U140" i="4" l="1"/>
  <c r="U141" i="4" l="1"/>
  <c r="U142" i="4" l="1"/>
  <c r="U143" i="4" l="1"/>
  <c r="U144" i="4" l="1"/>
  <c r="U145" i="4" l="1"/>
  <c r="U146" i="4" l="1"/>
  <c r="U147" i="4" l="1"/>
  <c r="U148" i="4" l="1"/>
  <c r="U149" i="4" l="1"/>
  <c r="U150" i="4" l="1"/>
  <c r="U151" i="4" l="1"/>
  <c r="U152" i="4" l="1"/>
  <c r="U153" i="4" l="1"/>
  <c r="U154" i="4" l="1"/>
  <c r="U155" i="4" l="1"/>
  <c r="U156" i="4" l="1"/>
  <c r="U157" i="4" l="1"/>
  <c r="U158" i="4" l="1"/>
  <c r="U159" i="4" l="1"/>
  <c r="E2" i="2"/>
  <c r="E3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<sst xmlns="http://schemas.openxmlformats.org/spreadsheetml/2006/main" count="160" uniqueCount="106">
  <si>
    <t>Арстотцка</t>
  </si>
  <si>
    <t>Колечия</t>
  </si>
  <si>
    <t>Орбистан</t>
  </si>
  <si>
    <t>Скоатия</t>
  </si>
  <si>
    <t>Импор</t>
  </si>
  <si>
    <t>Антегрия</t>
  </si>
  <si>
    <t>Республия</t>
  </si>
  <si>
    <t>Объединенная Федерация</t>
  </si>
  <si>
    <t>Семистан</t>
  </si>
  <si>
    <t>Страна</t>
  </si>
  <si>
    <t>Флот</t>
  </si>
  <si>
    <t>Авиация</t>
  </si>
  <si>
    <t>Фабрики</t>
  </si>
  <si>
    <t>Заводы</t>
  </si>
  <si>
    <t>Верфи</t>
  </si>
  <si>
    <t>-</t>
  </si>
  <si>
    <t>Тэг</t>
  </si>
  <si>
    <t>ANT</t>
  </si>
  <si>
    <t>ARS</t>
  </si>
  <si>
    <t>IMP</t>
  </si>
  <si>
    <t>KOL</t>
  </si>
  <si>
    <t>UNF</t>
  </si>
  <si>
    <t>OBR</t>
  </si>
  <si>
    <t>REP</t>
  </si>
  <si>
    <t>SEM</t>
  </si>
  <si>
    <t>SKO</t>
  </si>
  <si>
    <t>Сталь</t>
  </si>
  <si>
    <t>Хром</t>
  </si>
  <si>
    <t>Вольфрам</t>
  </si>
  <si>
    <t>Нефть</t>
  </si>
  <si>
    <t>Алюминий</t>
  </si>
  <si>
    <t>Резина</t>
  </si>
  <si>
    <t>ИТОГО ФАБРИКИ</t>
  </si>
  <si>
    <t>Пеха</t>
  </si>
  <si>
    <t>Арта</t>
  </si>
  <si>
    <t>Моторка</t>
  </si>
  <si>
    <t>ВСЕГО</t>
  </si>
  <si>
    <t>ПОЛИТИКА</t>
  </si>
  <si>
    <t>РЕСУРСЫ</t>
  </si>
  <si>
    <t>АРМИЯ</t>
  </si>
  <si>
    <t>Правительство</t>
  </si>
  <si>
    <t>ОСТАТОК</t>
  </si>
  <si>
    <t>ЗДАНИЯ</t>
  </si>
  <si>
    <t>Население</t>
  </si>
  <si>
    <t>Продукты</t>
  </si>
  <si>
    <t>Производство, тонн в год</t>
  </si>
  <si>
    <t>Необходимо в год, тонн</t>
  </si>
  <si>
    <t>Агрокомплекс</t>
  </si>
  <si>
    <t>Производство, тонн в месяц</t>
  </si>
  <si>
    <t>Необходимо в месяц, тонн</t>
  </si>
  <si>
    <t>ТЕКУЩЕЕ КОЛИЧЕСТВО</t>
  </si>
  <si>
    <t>МЕСЯЦ</t>
  </si>
  <si>
    <t>ПОКАЗАТЕЛЬ</t>
  </si>
  <si>
    <t>НЕУРОЖАЙ</t>
  </si>
  <si>
    <t>РЕКОРД</t>
  </si>
  <si>
    <t>НЕУРОЖАЙ ИЛИ РЕКОРД</t>
  </si>
  <si>
    <t>ЧЬЯ ПРОВЕРКА</t>
  </si>
  <si>
    <t>Элеватор</t>
  </si>
  <si>
    <t>На сколько хватит</t>
  </si>
  <si>
    <t>Элеваторы</t>
  </si>
  <si>
    <t>Базовый % сохранения провианта</t>
  </si>
  <si>
    <t>Стартовые запасы</t>
  </si>
  <si>
    <t>ГЭС</t>
  </si>
  <si>
    <t>АЭС</t>
  </si>
  <si>
    <t>Потребители энергии</t>
  </si>
  <si>
    <t>Производители энергии</t>
  </si>
  <si>
    <t>Фабрика</t>
  </si>
  <si>
    <t>Завод</t>
  </si>
  <si>
    <t>Верфь</t>
  </si>
  <si>
    <t>ТЭС</t>
  </si>
  <si>
    <t>МВт</t>
  </si>
  <si>
    <t>Инфра</t>
  </si>
  <si>
    <t>Узлы</t>
  </si>
  <si>
    <t>Аэродром</t>
  </si>
  <si>
    <t>Морбаза</t>
  </si>
  <si>
    <t>ПВО</t>
  </si>
  <si>
    <t>НПЗ</t>
  </si>
  <si>
    <t>Хранилище</t>
  </si>
  <si>
    <t>Радар</t>
  </si>
  <si>
    <t>Ракеты</t>
  </si>
  <si>
    <t>Ядерный реактор</t>
  </si>
  <si>
    <t>Бункер/Мор</t>
  </si>
  <si>
    <t>Баланс, МВт в месяц</t>
  </si>
  <si>
    <t>Производство, МВт в месяц</t>
  </si>
  <si>
    <t>Необходимо в месяц, МВт</t>
  </si>
  <si>
    <t>скорость стройки</t>
  </si>
  <si>
    <t>скорость исследований</t>
  </si>
  <si>
    <t>кодирование/дешифрование</t>
  </si>
  <si>
    <t>дальность радаров</t>
  </si>
  <si>
    <t>fuel_gain_factor</t>
  </si>
  <si>
    <t>Животноводческий комплекс</t>
  </si>
  <si>
    <t>Энергия</t>
  </si>
  <si>
    <t>Баланс энергии</t>
  </si>
  <si>
    <t>Баланс продуктов</t>
  </si>
  <si>
    <t>Обеспеченность, %</t>
  </si>
  <si>
    <t>производительность завода/верфи</t>
  </si>
  <si>
    <t>еженедельный прирост провизии</t>
  </si>
  <si>
    <t>Неделя</t>
  </si>
  <si>
    <t>Год</t>
  </si>
  <si>
    <t>Месяц</t>
  </si>
  <si>
    <t>Дебаф от электроэнергии</t>
  </si>
  <si>
    <t>Старое</t>
  </si>
  <si>
    <t>Новое</t>
  </si>
  <si>
    <t>Железо</t>
  </si>
  <si>
    <t>Сталеплавильни</t>
  </si>
  <si>
    <t>Число итераций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</si>
</sst>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-* #,##0.00_-;\-* #,##0.00_-;_-* &quot;-&quot;??_-;_-@_-"/>
    <numFmt numFmtId="164" formatCode="_-* #,##0_-;\-* #,##0_-;_-* &quot;-&quot;??_-;_-@_-"/>
    <numFmt numFmtId="166" formatCode="0.0"/>
    <numFmt numFmtId="167" formatCode="0.0%"/>
    <numFmt numFmtId="168" formatCode="0.000"/>
    <numFmt numFmtId="169" formatCode="_-* #,##0\ _₽_-;\-* #,##0\ _₽_-;_-* &quot;-&quot;???\ _₽_-;_-@_-"/>
    <numFmt numFmtId="170" formatCode="_-* #,##0.000_-;\-* #,##0.000_-;_-* &quot;-&quot;??_-;_-@_-"/>
    <numFmt numFmtId="171" formatCode="_-* #,##0.0000_-;\-* #,##0.0000_-;_-* &quot;-&quot;??_-;_-@_-"/>
    <numFmt numFmtId="172" formatCode="0_ ;\-0\ "/>
    <numFmt numFmtId="173" formatCode="_-* #,##0.0000\ _₽_-;\-* #,##0.0000\ _₽_-;_-* &quot;-&quot;????\ _₽_-;_-@_-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</cellStyleXfs>
  <cellXfs count="182">
    <xf numFmtId="0" fontId="0" fillId="0" borderId="0" xfId="0"/>
    <xf numFmtId="0" fontId="2" fillId="0" borderId="0" xfId="0" applyFont="1" applyFill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Fill="1"/>
    <xf numFmtId="0" fontId="0" fillId="2" borderId="1" xfId="0" applyFill="1" applyBorder="1" applyAlignment="1">
      <alignment horizontal="center" vertical="center"/>
    </xf>
    <xf numFmtId="0" fontId="0" fillId="2" borderId="0" xfId="0" applyFill="1"/>
    <xf numFmtId="0" fontId="0" fillId="2" borderId="4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0" fillId="2" borderId="22" xfId="0" applyFill="1" applyBorder="1" applyAlignment="1">
      <alignment horizontal="center" vertical="center"/>
    </xf>
    <xf numFmtId="0" fontId="0" fillId="2" borderId="23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0" borderId="24" xfId="0" applyFill="1" applyBorder="1" applyAlignment="1">
      <alignment horizontal="center" vertical="center"/>
    </xf>
    <xf numFmtId="0" fontId="0" fillId="2" borderId="24" xfId="0" applyFill="1" applyBorder="1" applyAlignment="1">
      <alignment horizontal="center" vertical="center"/>
    </xf>
    <xf numFmtId="0" fontId="0" fillId="2" borderId="25" xfId="0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0" fillId="3" borderId="26" xfId="0" applyFill="1" applyBorder="1" applyAlignment="1">
      <alignment horizontal="center" vertical="center"/>
    </xf>
    <xf numFmtId="0" fontId="0" fillId="3" borderId="27" xfId="0" applyFill="1" applyBorder="1" applyAlignment="1">
      <alignment horizontal="center" vertical="center"/>
    </xf>
    <xf numFmtId="0" fontId="0" fillId="3" borderId="28" xfId="0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9" fontId="0" fillId="2" borderId="11" xfId="1" applyFont="1" applyFill="1" applyBorder="1" applyAlignment="1">
      <alignment horizontal="center" vertical="center"/>
    </xf>
    <xf numFmtId="9" fontId="0" fillId="3" borderId="26" xfId="1" applyFont="1" applyFill="1" applyBorder="1" applyAlignment="1">
      <alignment horizontal="center" vertical="center"/>
    </xf>
    <xf numFmtId="9" fontId="0" fillId="0" borderId="1" xfId="1" applyFont="1" applyFill="1" applyBorder="1" applyAlignment="1">
      <alignment horizontal="center" vertical="center"/>
    </xf>
    <xf numFmtId="9" fontId="0" fillId="2" borderId="1" xfId="1" applyFont="1" applyFill="1" applyBorder="1" applyAlignment="1">
      <alignment horizontal="center" vertical="center"/>
    </xf>
    <xf numFmtId="9" fontId="0" fillId="2" borderId="8" xfId="1" applyFont="1" applyFill="1" applyBorder="1" applyAlignment="1">
      <alignment horizontal="center" vertical="center"/>
    </xf>
    <xf numFmtId="9" fontId="0" fillId="2" borderId="22" xfId="1" applyFont="1" applyFill="1" applyBorder="1" applyAlignment="1">
      <alignment horizontal="center" vertical="center"/>
    </xf>
    <xf numFmtId="9" fontId="0" fillId="0" borderId="4" xfId="1" applyFont="1" applyFill="1" applyBorder="1" applyAlignment="1">
      <alignment horizontal="center" vertical="center"/>
    </xf>
    <xf numFmtId="9" fontId="0" fillId="2" borderId="4" xfId="1" applyFont="1" applyFill="1" applyBorder="1" applyAlignment="1">
      <alignment horizontal="center" vertical="center"/>
    </xf>
    <xf numFmtId="9" fontId="0" fillId="2" borderId="23" xfId="1" applyFont="1" applyFill="1" applyBorder="1" applyAlignment="1">
      <alignment horizontal="center" vertical="center"/>
    </xf>
    <xf numFmtId="0" fontId="0" fillId="2" borderId="10" xfId="0" applyFill="1" applyBorder="1" applyAlignment="1">
      <alignment horizontal="left" vertical="center" wrapText="1"/>
    </xf>
    <xf numFmtId="0" fontId="0" fillId="0" borderId="5" xfId="0" applyFill="1" applyBorder="1" applyAlignment="1">
      <alignment horizontal="left" vertical="center" wrapText="1"/>
    </xf>
    <xf numFmtId="0" fontId="0" fillId="2" borderId="5" xfId="0" applyFill="1" applyBorder="1" applyAlignment="1">
      <alignment horizontal="left" vertical="center" wrapText="1"/>
    </xf>
    <xf numFmtId="0" fontId="0" fillId="2" borderId="7" xfId="0" applyFill="1" applyBorder="1" applyAlignment="1">
      <alignment horizontal="left" vertical="center" wrapText="1"/>
    </xf>
    <xf numFmtId="164" fontId="0" fillId="0" borderId="0" xfId="2" applyNumberFormat="1" applyFont="1" applyAlignment="1">
      <alignment horizontal="center" vertical="center"/>
    </xf>
    <xf numFmtId="164" fontId="0" fillId="0" borderId="0" xfId="0" applyNumberFormat="1"/>
    <xf numFmtId="164" fontId="0" fillId="2" borderId="27" xfId="2" applyNumberFormat="1" applyFont="1" applyFill="1" applyBorder="1" applyAlignment="1">
      <alignment horizontal="center" vertical="center"/>
    </xf>
    <xf numFmtId="164" fontId="0" fillId="0" borderId="1" xfId="2" applyNumberFormat="1" applyFont="1" applyBorder="1" applyAlignment="1">
      <alignment horizontal="center" vertical="center"/>
    </xf>
    <xf numFmtId="164" fontId="0" fillId="0" borderId="27" xfId="2" applyNumberFormat="1" applyFont="1" applyFill="1" applyBorder="1" applyAlignment="1">
      <alignment horizontal="center" vertical="center"/>
    </xf>
    <xf numFmtId="164" fontId="0" fillId="2" borderId="28" xfId="2" applyNumberFormat="1" applyFont="1" applyFill="1" applyBorder="1" applyAlignment="1">
      <alignment horizontal="center" vertical="center"/>
    </xf>
    <xf numFmtId="164" fontId="0" fillId="0" borderId="0" xfId="2" applyNumberFormat="1" applyFont="1"/>
    <xf numFmtId="49" fontId="0" fillId="0" borderId="0" xfId="2" applyNumberFormat="1" applyFont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 wrapText="1"/>
    </xf>
    <xf numFmtId="164" fontId="0" fillId="2" borderId="33" xfId="2" applyNumberFormat="1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6" fontId="0" fillId="0" borderId="0" xfId="0" applyNumberFormat="1" applyAlignment="1">
      <alignment horizontal="right" vertical="center"/>
    </xf>
    <xf numFmtId="0" fontId="1" fillId="0" borderId="19" xfId="0" applyFont="1" applyBorder="1" applyAlignment="1">
      <alignment horizontal="center" vertical="center" wrapText="1"/>
    </xf>
    <xf numFmtId="0" fontId="1" fillId="0" borderId="21" xfId="0" applyFont="1" applyBorder="1" applyAlignment="1">
      <alignment horizontal="center" vertical="center" wrapText="1"/>
    </xf>
    <xf numFmtId="0" fontId="0" fillId="0" borderId="27" xfId="0" applyFill="1" applyBorder="1" applyAlignment="1">
      <alignment horizontal="left" vertical="center" wrapText="1"/>
    </xf>
    <xf numFmtId="0" fontId="0" fillId="2" borderId="27" xfId="0" applyFill="1" applyBorder="1" applyAlignment="1">
      <alignment horizontal="left" vertical="center" wrapText="1"/>
    </xf>
    <xf numFmtId="0" fontId="0" fillId="2" borderId="28" xfId="0" applyFill="1" applyBorder="1" applyAlignment="1">
      <alignment horizontal="left" vertical="center" wrapText="1"/>
    </xf>
    <xf numFmtId="0" fontId="0" fillId="2" borderId="33" xfId="0" applyFill="1" applyBorder="1" applyAlignment="1">
      <alignment horizontal="left" vertical="center" wrapText="1"/>
    </xf>
    <xf numFmtId="0" fontId="0" fillId="2" borderId="33" xfId="0" applyFill="1" applyBorder="1" applyAlignment="1">
      <alignment horizontal="center" vertical="center"/>
    </xf>
    <xf numFmtId="0" fontId="0" fillId="0" borderId="26" xfId="0" applyFill="1" applyBorder="1" applyAlignment="1">
      <alignment horizontal="center" vertical="center"/>
    </xf>
    <xf numFmtId="0" fontId="0" fillId="2" borderId="26" xfId="0" applyFill="1" applyBorder="1" applyAlignment="1">
      <alignment horizontal="center" vertical="center"/>
    </xf>
    <xf numFmtId="0" fontId="0" fillId="2" borderId="21" xfId="0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 wrapText="1"/>
    </xf>
    <xf numFmtId="0" fontId="2" fillId="0" borderId="19" xfId="0" applyFont="1" applyFill="1" applyBorder="1" applyAlignment="1">
      <alignment horizontal="center" vertical="center" wrapText="1"/>
    </xf>
    <xf numFmtId="166" fontId="0" fillId="0" borderId="0" xfId="1" applyNumberFormat="1" applyFont="1" applyAlignment="1">
      <alignment horizontal="center" vertical="center"/>
    </xf>
    <xf numFmtId="164" fontId="0" fillId="0" borderId="35" xfId="2" applyNumberFormat="1" applyFont="1" applyFill="1" applyBorder="1" applyAlignment="1">
      <alignment horizontal="center" vertical="center"/>
    </xf>
    <xf numFmtId="164" fontId="0" fillId="2" borderId="35" xfId="2" applyNumberFormat="1" applyFont="1" applyFill="1" applyBorder="1" applyAlignment="1">
      <alignment horizontal="center" vertical="center"/>
    </xf>
    <xf numFmtId="164" fontId="0" fillId="2" borderId="36" xfId="2" applyNumberFormat="1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 wrapText="1"/>
    </xf>
    <xf numFmtId="0" fontId="0" fillId="4" borderId="1" xfId="0" applyFill="1" applyBorder="1"/>
    <xf numFmtId="164" fontId="0" fillId="4" borderId="1" xfId="2" applyNumberFormat="1" applyFont="1" applyFill="1" applyBorder="1" applyAlignment="1">
      <alignment horizontal="center" vertical="center"/>
    </xf>
    <xf numFmtId="164" fontId="0" fillId="2" borderId="1" xfId="2" applyNumberFormat="1" applyFont="1" applyFill="1" applyBorder="1" applyAlignment="1">
      <alignment horizontal="center" vertical="center"/>
    </xf>
    <xf numFmtId="164" fontId="0" fillId="0" borderId="1" xfId="2" applyNumberFormat="1" applyFont="1" applyFill="1" applyBorder="1" applyAlignment="1">
      <alignment horizontal="center" vertical="center"/>
    </xf>
    <xf numFmtId="164" fontId="0" fillId="0" borderId="5" xfId="2" applyNumberFormat="1" applyFont="1" applyFill="1" applyBorder="1" applyAlignment="1">
      <alignment horizontal="center" vertical="center"/>
    </xf>
    <xf numFmtId="164" fontId="0" fillId="2" borderId="6" xfId="2" applyNumberFormat="1" applyFont="1" applyFill="1" applyBorder="1" applyAlignment="1">
      <alignment horizontal="center" vertical="center"/>
    </xf>
    <xf numFmtId="164" fontId="0" fillId="2" borderId="5" xfId="2" applyNumberFormat="1" applyFont="1" applyFill="1" applyBorder="1" applyAlignment="1">
      <alignment horizontal="center" vertical="center"/>
    </xf>
    <xf numFmtId="164" fontId="0" fillId="2" borderId="7" xfId="2" applyNumberFormat="1" applyFont="1" applyFill="1" applyBorder="1" applyAlignment="1">
      <alignment horizontal="center" vertical="center"/>
    </xf>
    <xf numFmtId="164" fontId="0" fillId="2" borderId="9" xfId="2" applyNumberFormat="1" applyFont="1" applyFill="1" applyBorder="1" applyAlignment="1">
      <alignment horizontal="center" vertical="center"/>
    </xf>
    <xf numFmtId="164" fontId="0" fillId="0" borderId="6" xfId="2" applyNumberFormat="1" applyFont="1" applyFill="1" applyBorder="1" applyAlignment="1">
      <alignment horizontal="center" vertical="center"/>
    </xf>
    <xf numFmtId="164" fontId="0" fillId="2" borderId="8" xfId="2" applyNumberFormat="1" applyFont="1" applyFill="1" applyBorder="1" applyAlignment="1">
      <alignment horizontal="center" vertical="center"/>
    </xf>
    <xf numFmtId="0" fontId="0" fillId="2" borderId="34" xfId="0" applyFill="1" applyBorder="1" applyAlignment="1">
      <alignment horizontal="left" vertical="center" wrapText="1"/>
    </xf>
    <xf numFmtId="0" fontId="0" fillId="0" borderId="35" xfId="0" applyFill="1" applyBorder="1" applyAlignment="1">
      <alignment horizontal="left" vertical="center" wrapText="1"/>
    </xf>
    <xf numFmtId="0" fontId="0" fillId="2" borderId="35" xfId="0" applyFill="1" applyBorder="1" applyAlignment="1">
      <alignment horizontal="left" vertical="center" wrapText="1"/>
    </xf>
    <xf numFmtId="0" fontId="0" fillId="2" borderId="36" xfId="0" applyFill="1" applyBorder="1" applyAlignment="1">
      <alignment horizontal="left" vertical="center" wrapText="1"/>
    </xf>
    <xf numFmtId="0" fontId="0" fillId="2" borderId="38" xfId="0" applyFill="1" applyBorder="1" applyAlignment="1">
      <alignment horizontal="center" vertical="center"/>
    </xf>
    <xf numFmtId="0" fontId="0" fillId="2" borderId="39" xfId="0" applyFill="1" applyBorder="1" applyAlignment="1">
      <alignment horizontal="center" vertical="center"/>
    </xf>
    <xf numFmtId="164" fontId="0" fillId="2" borderId="41" xfId="2" applyNumberFormat="1" applyFont="1" applyFill="1" applyBorder="1" applyAlignment="1">
      <alignment horizontal="center" vertical="center"/>
    </xf>
    <xf numFmtId="164" fontId="0" fillId="0" borderId="4" xfId="2" applyNumberFormat="1" applyFont="1" applyFill="1" applyBorder="1" applyAlignment="1">
      <alignment horizontal="center" vertical="center"/>
    </xf>
    <xf numFmtId="164" fontId="0" fillId="2" borderId="4" xfId="2" applyNumberFormat="1" applyFont="1" applyFill="1" applyBorder="1" applyAlignment="1">
      <alignment horizontal="center" vertical="center"/>
    </xf>
    <xf numFmtId="164" fontId="0" fillId="2" borderId="23" xfId="2" applyNumberFormat="1" applyFont="1" applyFill="1" applyBorder="1" applyAlignment="1">
      <alignment horizontal="center" vertical="center"/>
    </xf>
    <xf numFmtId="167" fontId="0" fillId="0" borderId="0" xfId="1" applyNumberFormat="1" applyFont="1"/>
    <xf numFmtId="0" fontId="1" fillId="0" borderId="15" xfId="0" applyFont="1" applyBorder="1" applyAlignment="1">
      <alignment horizontal="center" vertical="center" wrapText="1"/>
    </xf>
    <xf numFmtId="0" fontId="1" fillId="0" borderId="19" xfId="0" applyFont="1" applyBorder="1" applyAlignment="1">
      <alignment horizontal="center" vertical="center" wrapText="1"/>
    </xf>
    <xf numFmtId="164" fontId="0" fillId="0" borderId="0" xfId="2" applyNumberFormat="1" applyFont="1" applyFill="1" applyBorder="1" applyAlignment="1">
      <alignment horizontal="center" vertical="center"/>
    </xf>
    <xf numFmtId="164" fontId="0" fillId="2" borderId="43" xfId="2" applyNumberFormat="1" applyFont="1" applyFill="1" applyBorder="1" applyAlignment="1">
      <alignment horizontal="center" vertical="center"/>
    </xf>
    <xf numFmtId="164" fontId="0" fillId="0" borderId="44" xfId="2" applyNumberFormat="1" applyFont="1" applyFill="1" applyBorder="1" applyAlignment="1">
      <alignment horizontal="center" vertical="center"/>
    </xf>
    <xf numFmtId="164" fontId="0" fillId="2" borderId="44" xfId="2" applyNumberFormat="1" applyFont="1" applyFill="1" applyBorder="1" applyAlignment="1">
      <alignment horizontal="center" vertical="center"/>
    </xf>
    <xf numFmtId="164" fontId="0" fillId="2" borderId="45" xfId="2" applyNumberFormat="1" applyFont="1" applyFill="1" applyBorder="1" applyAlignment="1">
      <alignment horizontal="center" vertical="center"/>
    </xf>
    <xf numFmtId="0" fontId="1" fillId="0" borderId="42" xfId="0" applyFont="1" applyBorder="1" applyAlignment="1">
      <alignment horizontal="center" vertical="center" wrapText="1"/>
    </xf>
    <xf numFmtId="164" fontId="0" fillId="0" borderId="0" xfId="0" applyNumberFormat="1" applyAlignment="1">
      <alignment horizontal="left" vertical="center"/>
    </xf>
    <xf numFmtId="164" fontId="0" fillId="3" borderId="0" xfId="0" applyNumberFormat="1" applyFill="1" applyAlignment="1">
      <alignment horizontal="right" vertical="center"/>
    </xf>
    <xf numFmtId="0" fontId="0" fillId="3" borderId="46" xfId="0" applyFill="1" applyBorder="1" applyAlignment="1">
      <alignment horizontal="center" vertical="center"/>
    </xf>
    <xf numFmtId="0" fontId="0" fillId="3" borderId="35" xfId="0" applyFill="1" applyBorder="1" applyAlignment="1">
      <alignment horizontal="center" vertical="center"/>
    </xf>
    <xf numFmtId="0" fontId="0" fillId="3" borderId="36" xfId="0" applyFill="1" applyBorder="1" applyAlignment="1">
      <alignment horizontal="center" vertical="center"/>
    </xf>
    <xf numFmtId="0" fontId="0" fillId="2" borderId="40" xfId="0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 wrapText="1"/>
    </xf>
    <xf numFmtId="0" fontId="2" fillId="0" borderId="31" xfId="0" applyFont="1" applyFill="1" applyBorder="1" applyAlignment="1">
      <alignment horizontal="center" vertical="center"/>
    </xf>
    <xf numFmtId="164" fontId="0" fillId="2" borderId="38" xfId="2" applyNumberFormat="1" applyFont="1" applyFill="1" applyBorder="1" applyAlignment="1">
      <alignment horizontal="center" vertical="center"/>
    </xf>
    <xf numFmtId="164" fontId="0" fillId="2" borderId="40" xfId="2" applyNumberFormat="1" applyFont="1" applyFill="1" applyBorder="1" applyAlignment="1">
      <alignment horizontal="center" vertical="center"/>
    </xf>
    <xf numFmtId="0" fontId="0" fillId="2" borderId="41" xfId="0" applyFill="1" applyBorder="1" applyAlignment="1">
      <alignment horizontal="center" vertical="center"/>
    </xf>
    <xf numFmtId="0" fontId="4" fillId="0" borderId="20" xfId="0" applyFont="1" applyFill="1" applyBorder="1" applyAlignment="1">
      <alignment horizontal="center" vertical="center" wrapText="1"/>
    </xf>
    <xf numFmtId="164" fontId="0" fillId="2" borderId="12" xfId="2" applyNumberFormat="1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 wrapText="1"/>
    </xf>
    <xf numFmtId="164" fontId="0" fillId="2" borderId="39" xfId="2" applyNumberFormat="1" applyFont="1" applyFill="1" applyBorder="1" applyAlignment="1">
      <alignment horizontal="center" vertical="center"/>
    </xf>
    <xf numFmtId="164" fontId="0" fillId="0" borderId="12" xfId="2" applyNumberFormat="1" applyFont="1" applyFill="1" applyBorder="1" applyAlignment="1">
      <alignment horizontal="center" vertical="center"/>
    </xf>
    <xf numFmtId="164" fontId="0" fillId="2" borderId="47" xfId="2" applyNumberFormat="1" applyFont="1" applyFill="1" applyBorder="1" applyAlignment="1">
      <alignment horizontal="center" vertical="center"/>
    </xf>
    <xf numFmtId="167" fontId="0" fillId="4" borderId="1" xfId="1" applyNumberFormat="1" applyFont="1" applyFill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167" fontId="0" fillId="2" borderId="40" xfId="1" applyNumberFormat="1" applyFont="1" applyFill="1" applyBorder="1" applyAlignment="1">
      <alignment horizontal="center" vertical="center"/>
    </xf>
    <xf numFmtId="167" fontId="0" fillId="0" borderId="6" xfId="1" applyNumberFormat="1" applyFont="1" applyFill="1" applyBorder="1" applyAlignment="1">
      <alignment horizontal="center" vertical="center"/>
    </xf>
    <xf numFmtId="167" fontId="0" fillId="2" borderId="6" xfId="1" applyNumberFormat="1" applyFont="1" applyFill="1" applyBorder="1" applyAlignment="1">
      <alignment horizontal="center" vertical="center"/>
    </xf>
    <xf numFmtId="167" fontId="0" fillId="2" borderId="9" xfId="1" applyNumberFormat="1" applyFont="1" applyFill="1" applyBorder="1" applyAlignment="1">
      <alignment horizontal="center" vertical="center"/>
    </xf>
    <xf numFmtId="168" fontId="0" fillId="0" borderId="0" xfId="0" applyNumberFormat="1"/>
    <xf numFmtId="169" fontId="0" fillId="0" borderId="0" xfId="0" applyNumberFormat="1"/>
    <xf numFmtId="0" fontId="2" fillId="0" borderId="31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1" fillId="0" borderId="19" xfId="0" applyFont="1" applyBorder="1" applyAlignment="1">
      <alignment horizontal="center" vertical="center" wrapText="1"/>
    </xf>
    <xf numFmtId="0" fontId="0" fillId="0" borderId="2" xfId="0" applyFill="1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170" fontId="0" fillId="0" borderId="0" xfId="2" applyNumberFormat="1" applyFont="1" applyAlignment="1">
      <alignment horizontal="center" vertical="center"/>
    </xf>
    <xf numFmtId="171" fontId="0" fillId="0" borderId="0" xfId="2" applyNumberFormat="1" applyFont="1" applyAlignment="1">
      <alignment horizontal="center" vertical="center"/>
    </xf>
    <xf numFmtId="164" fontId="0" fillId="0" borderId="48" xfId="2" applyNumberFormat="1" applyFont="1" applyBorder="1" applyAlignment="1">
      <alignment horizontal="center" vertical="center"/>
    </xf>
    <xf numFmtId="0" fontId="0" fillId="3" borderId="1" xfId="0" applyFill="1" applyBorder="1"/>
    <xf numFmtId="49" fontId="0" fillId="3" borderId="1" xfId="2" applyNumberFormat="1" applyFont="1" applyFill="1" applyBorder="1" applyAlignment="1">
      <alignment horizontal="center" vertical="center"/>
    </xf>
    <xf numFmtId="170" fontId="0" fillId="3" borderId="1" xfId="2" applyNumberFormat="1" applyFont="1" applyFill="1" applyBorder="1" applyAlignment="1">
      <alignment horizontal="center" vertical="center"/>
    </xf>
    <xf numFmtId="0" fontId="0" fillId="3" borderId="0" xfId="0" applyFill="1"/>
    <xf numFmtId="170" fontId="0" fillId="0" borderId="0" xfId="0" applyNumberFormat="1"/>
    <xf numFmtId="171" fontId="0" fillId="3" borderId="1" xfId="0" applyNumberFormat="1" applyFill="1" applyBorder="1"/>
    <xf numFmtId="171" fontId="0" fillId="3" borderId="0" xfId="0" applyNumberFormat="1" applyFill="1"/>
    <xf numFmtId="172" fontId="0" fillId="0" borderId="0" xfId="2" applyNumberFormat="1" applyFont="1" applyAlignment="1">
      <alignment horizontal="center" vertical="center"/>
    </xf>
    <xf numFmtId="0" fontId="2" fillId="0" borderId="19" xfId="0" applyFont="1" applyFill="1" applyBorder="1" applyAlignment="1">
      <alignment horizontal="center" vertical="center"/>
    </xf>
    <xf numFmtId="0" fontId="2" fillId="0" borderId="21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1" fillId="0" borderId="29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1" fillId="0" borderId="37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9" xfId="0" applyFont="1" applyBorder="1" applyAlignment="1">
      <alignment horizontal="center" vertical="center" wrapText="1"/>
    </xf>
    <xf numFmtId="0" fontId="1" fillId="0" borderId="21" xfId="0" applyFont="1" applyBorder="1" applyAlignment="1">
      <alignment horizontal="center" vertical="center" wrapText="1"/>
    </xf>
    <xf numFmtId="0" fontId="1" fillId="0" borderId="20" xfId="0" applyFont="1" applyBorder="1" applyAlignment="1">
      <alignment horizontal="center" vertical="center" wrapText="1"/>
    </xf>
    <xf numFmtId="0" fontId="1" fillId="0" borderId="31" xfId="0" applyFont="1" applyBorder="1" applyAlignment="1">
      <alignment horizontal="center" vertical="center" wrapText="1"/>
    </xf>
    <xf numFmtId="0" fontId="2" fillId="0" borderId="20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1" fillId="0" borderId="30" xfId="0" applyFont="1" applyBorder="1" applyAlignment="1">
      <alignment horizontal="center" vertical="center" wrapText="1"/>
    </xf>
    <xf numFmtId="0" fontId="2" fillId="0" borderId="17" xfId="0" applyFont="1" applyFill="1" applyBorder="1" applyAlignment="1">
      <alignment horizontal="center" vertical="center" wrapText="1"/>
    </xf>
    <xf numFmtId="0" fontId="2" fillId="0" borderId="18" xfId="0" applyFont="1" applyFill="1" applyBorder="1" applyAlignment="1">
      <alignment horizontal="center" vertical="center" wrapText="1"/>
    </xf>
    <xf numFmtId="0" fontId="2" fillId="0" borderId="19" xfId="0" applyFont="1" applyFill="1" applyBorder="1" applyAlignment="1">
      <alignment horizontal="center" vertical="center" wrapText="1"/>
    </xf>
    <xf numFmtId="0" fontId="2" fillId="0" borderId="21" xfId="0" applyFont="1" applyFill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 wrapText="1"/>
    </xf>
    <xf numFmtId="0" fontId="1" fillId="0" borderId="17" xfId="0" applyFont="1" applyBorder="1" applyAlignment="1">
      <alignment horizontal="center" vertical="center" wrapText="1"/>
    </xf>
    <xf numFmtId="171" fontId="0" fillId="0" borderId="0" xfId="0" applyNumberFormat="1"/>
    <xf numFmtId="164" fontId="0" fillId="3" borderId="0" xfId="2" applyNumberFormat="1" applyFont="1" applyFill="1"/>
    <xf numFmtId="173" fontId="0" fillId="0" borderId="0" xfId="0" applyNumberFormat="1"/>
    <xf numFmtId="172" fontId="6" fillId="0" borderId="0" xfId="2" applyNumberFormat="1" applyFont="1" applyAlignment="1">
      <alignment horizontal="center" vertical="center"/>
    </xf>
  </cellXfs>
  <cellStyles count="3">
    <cellStyle name="Обычный" xfId="0" builtinId="0"/>
    <cellStyle name="Процентный" xfId="1" builtinId="5"/>
    <cellStyle name="Финансовый" xfId="2" builtinId="3"/>
  </cellStyles>
  <dxfs count="11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219075</xdr:colOff>
      <xdr:row>1</xdr:row>
      <xdr:rowOff>16094</xdr:rowOff>
    </xdr:from>
    <xdr:to>
      <xdr:col>32</xdr:col>
      <xdr:colOff>457200</xdr:colOff>
      <xdr:row>1</xdr:row>
      <xdr:rowOff>265058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13903" y="226301"/>
          <a:ext cx="238125" cy="248964"/>
        </a:xfrm>
        <a:prstGeom prst="rect">
          <a:avLst/>
        </a:prstGeom>
      </xdr:spPr>
    </xdr:pic>
    <xdr:clientData/>
  </xdr:twoCellAnchor>
  <xdr:twoCellAnchor editAs="oneCell">
    <xdr:from>
      <xdr:col>33</xdr:col>
      <xdr:colOff>142875</xdr:colOff>
      <xdr:row>1</xdr:row>
      <xdr:rowOff>16094</xdr:rowOff>
    </xdr:from>
    <xdr:to>
      <xdr:col>33</xdr:col>
      <xdr:colOff>381000</xdr:colOff>
      <xdr:row>1</xdr:row>
      <xdr:rowOff>265058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14306" y="226301"/>
          <a:ext cx="238125" cy="248964"/>
        </a:xfrm>
        <a:prstGeom prst="rect">
          <a:avLst/>
        </a:prstGeom>
      </xdr:spPr>
    </xdr:pic>
    <xdr:clientData/>
  </xdr:twoCellAnchor>
  <xdr:twoCellAnchor editAs="oneCell">
    <xdr:from>
      <xdr:col>39</xdr:col>
      <xdr:colOff>170793</xdr:colOff>
      <xdr:row>1</xdr:row>
      <xdr:rowOff>6569</xdr:rowOff>
    </xdr:from>
    <xdr:to>
      <xdr:col>39</xdr:col>
      <xdr:colOff>408918</xdr:colOff>
      <xdr:row>1</xdr:row>
      <xdr:rowOff>254219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48586" y="216776"/>
          <a:ext cx="238125" cy="247650"/>
        </a:xfrm>
        <a:prstGeom prst="rect">
          <a:avLst/>
        </a:prstGeom>
      </xdr:spPr>
    </xdr:pic>
    <xdr:clientData/>
  </xdr:twoCellAnchor>
  <xdr:twoCellAnchor editAs="oneCell">
    <xdr:from>
      <xdr:col>37</xdr:col>
      <xdr:colOff>210207</xdr:colOff>
      <xdr:row>1</xdr:row>
      <xdr:rowOff>6569</xdr:rowOff>
    </xdr:from>
    <xdr:to>
      <xdr:col>37</xdr:col>
      <xdr:colOff>448332</xdr:colOff>
      <xdr:row>1</xdr:row>
      <xdr:rowOff>254219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066173" y="216776"/>
          <a:ext cx="238125" cy="247650"/>
        </a:xfrm>
        <a:prstGeom prst="rect">
          <a:avLst/>
        </a:prstGeom>
      </xdr:spPr>
    </xdr:pic>
    <xdr:clientData/>
  </xdr:twoCellAnchor>
  <xdr:twoCellAnchor editAs="oneCell">
    <xdr:from>
      <xdr:col>41</xdr:col>
      <xdr:colOff>177362</xdr:colOff>
      <xdr:row>1</xdr:row>
      <xdr:rowOff>19707</xdr:rowOff>
    </xdr:from>
    <xdr:to>
      <xdr:col>41</xdr:col>
      <xdr:colOff>415487</xdr:colOff>
      <xdr:row>1</xdr:row>
      <xdr:rowOff>267357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76983" y="229914"/>
          <a:ext cx="238125" cy="247650"/>
        </a:xfrm>
        <a:prstGeom prst="rect">
          <a:avLst/>
        </a:prstGeom>
      </xdr:spPr>
    </xdr:pic>
    <xdr:clientData/>
  </xdr:twoCellAnchor>
  <xdr:twoCellAnchor editAs="oneCell">
    <xdr:from>
      <xdr:col>40</xdr:col>
      <xdr:colOff>183930</xdr:colOff>
      <xdr:row>1</xdr:row>
      <xdr:rowOff>0</xdr:rowOff>
    </xdr:from>
    <xdr:to>
      <xdr:col>40</xdr:col>
      <xdr:colOff>422055</xdr:colOff>
      <xdr:row>1</xdr:row>
      <xdr:rowOff>247650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72637" y="210207"/>
          <a:ext cx="238125" cy="247650"/>
        </a:xfrm>
        <a:prstGeom prst="rect">
          <a:avLst/>
        </a:prstGeom>
      </xdr:spPr>
    </xdr:pic>
    <xdr:clientData/>
  </xdr:twoCellAnchor>
  <xdr:twoCellAnchor editAs="oneCell">
    <xdr:from>
      <xdr:col>34</xdr:col>
      <xdr:colOff>170794</xdr:colOff>
      <xdr:row>1</xdr:row>
      <xdr:rowOff>0</xdr:rowOff>
    </xdr:from>
    <xdr:to>
      <xdr:col>34</xdr:col>
      <xdr:colOff>408919</xdr:colOff>
      <xdr:row>1</xdr:row>
      <xdr:rowOff>247650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94018" y="210207"/>
          <a:ext cx="238125" cy="247650"/>
        </a:xfrm>
        <a:prstGeom prst="rect">
          <a:avLst/>
        </a:prstGeom>
      </xdr:spPr>
    </xdr:pic>
    <xdr:clientData/>
  </xdr:twoCellAnchor>
  <xdr:twoCellAnchor editAs="oneCell">
    <xdr:from>
      <xdr:col>38</xdr:col>
      <xdr:colOff>197070</xdr:colOff>
      <xdr:row>1</xdr:row>
      <xdr:rowOff>13138</xdr:rowOff>
    </xdr:from>
    <xdr:to>
      <xdr:col>38</xdr:col>
      <xdr:colOff>435195</xdr:colOff>
      <xdr:row>1</xdr:row>
      <xdr:rowOff>260788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63949" y="223345"/>
          <a:ext cx="238125" cy="247650"/>
        </a:xfrm>
        <a:prstGeom prst="rect">
          <a:avLst/>
        </a:prstGeom>
      </xdr:spPr>
    </xdr:pic>
    <xdr:clientData/>
  </xdr:twoCellAnchor>
  <xdr:twoCellAnchor editAs="oneCell">
    <xdr:from>
      <xdr:col>35</xdr:col>
      <xdr:colOff>197068</xdr:colOff>
      <xdr:row>0</xdr:row>
      <xdr:rowOff>203638</xdr:rowOff>
    </xdr:from>
    <xdr:to>
      <xdr:col>35</xdr:col>
      <xdr:colOff>435193</xdr:colOff>
      <xdr:row>1</xdr:row>
      <xdr:rowOff>241081</xdr:rowOff>
    </xdr:to>
    <xdr:pic>
      <xdr:nvPicPr>
        <xdr:cNvPr id="21" name="Рисунок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31206" y="203638"/>
          <a:ext cx="238125" cy="247650"/>
        </a:xfrm>
        <a:prstGeom prst="rect">
          <a:avLst/>
        </a:prstGeom>
      </xdr:spPr>
    </xdr:pic>
    <xdr:clientData/>
  </xdr:twoCellAnchor>
  <xdr:twoCellAnchor editAs="oneCell">
    <xdr:from>
      <xdr:col>36</xdr:col>
      <xdr:colOff>203638</xdr:colOff>
      <xdr:row>1</xdr:row>
      <xdr:rowOff>19707</xdr:rowOff>
    </xdr:from>
    <xdr:to>
      <xdr:col>36</xdr:col>
      <xdr:colOff>441763</xdr:colOff>
      <xdr:row>1</xdr:row>
      <xdr:rowOff>267357</xdr:rowOff>
    </xdr:to>
    <xdr:pic>
      <xdr:nvPicPr>
        <xdr:cNvPr id="23" name="Рисунок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448690" y="229914"/>
          <a:ext cx="238125" cy="247650"/>
        </a:xfrm>
        <a:prstGeom prst="rect">
          <a:avLst/>
        </a:prstGeom>
      </xdr:spPr>
    </xdr:pic>
    <xdr:clientData/>
  </xdr:twoCellAnchor>
  <xdr:twoCellAnchor editAs="oneCell">
    <xdr:from>
      <xdr:col>31</xdr:col>
      <xdr:colOff>426326</xdr:colOff>
      <xdr:row>2</xdr:row>
      <xdr:rowOff>22336</xdr:rowOff>
    </xdr:from>
    <xdr:to>
      <xdr:col>31</xdr:col>
      <xdr:colOff>664451</xdr:colOff>
      <xdr:row>3</xdr:row>
      <xdr:rowOff>657</xdr:rowOff>
    </xdr:to>
    <xdr:pic>
      <xdr:nvPicPr>
        <xdr:cNvPr id="24" name="Рисунок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56981" y="521577"/>
          <a:ext cx="238125" cy="247650"/>
        </a:xfrm>
        <a:prstGeom prst="rect">
          <a:avLst/>
        </a:prstGeom>
      </xdr:spPr>
    </xdr:pic>
    <xdr:clientData/>
  </xdr:twoCellAnchor>
  <xdr:twoCellAnchor editAs="oneCell">
    <xdr:from>
      <xdr:col>31</xdr:col>
      <xdr:colOff>420413</xdr:colOff>
      <xdr:row>5</xdr:row>
      <xdr:rowOff>0</xdr:rowOff>
    </xdr:from>
    <xdr:to>
      <xdr:col>31</xdr:col>
      <xdr:colOff>658538</xdr:colOff>
      <xdr:row>5</xdr:row>
      <xdr:rowOff>247650</xdr:rowOff>
    </xdr:to>
    <xdr:pic>
      <xdr:nvPicPr>
        <xdr:cNvPr id="27" name="Рисунок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51068" y="1307224"/>
          <a:ext cx="238125" cy="247650"/>
        </a:xfrm>
        <a:prstGeom prst="rect">
          <a:avLst/>
        </a:prstGeom>
      </xdr:spPr>
    </xdr:pic>
    <xdr:clientData/>
  </xdr:twoCellAnchor>
  <xdr:twoCellAnchor editAs="oneCell">
    <xdr:from>
      <xdr:col>31</xdr:col>
      <xdr:colOff>426983</xdr:colOff>
      <xdr:row>6</xdr:row>
      <xdr:rowOff>52552</xdr:rowOff>
    </xdr:from>
    <xdr:to>
      <xdr:col>31</xdr:col>
      <xdr:colOff>665108</xdr:colOff>
      <xdr:row>6</xdr:row>
      <xdr:rowOff>300202</xdr:rowOff>
    </xdr:to>
    <xdr:pic>
      <xdr:nvPicPr>
        <xdr:cNvPr id="28" name="Рисунок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57638" y="1629104"/>
          <a:ext cx="238125" cy="247650"/>
        </a:xfrm>
        <a:prstGeom prst="rect">
          <a:avLst/>
        </a:prstGeom>
      </xdr:spPr>
    </xdr:pic>
    <xdr:clientData/>
  </xdr:twoCellAnchor>
  <xdr:twoCellAnchor editAs="oneCell">
    <xdr:from>
      <xdr:col>31</xdr:col>
      <xdr:colOff>441435</xdr:colOff>
      <xdr:row>10</xdr:row>
      <xdr:rowOff>1315</xdr:rowOff>
    </xdr:from>
    <xdr:to>
      <xdr:col>31</xdr:col>
      <xdr:colOff>679560</xdr:colOff>
      <xdr:row>10</xdr:row>
      <xdr:rowOff>248965</xdr:rowOff>
    </xdr:to>
    <xdr:pic>
      <xdr:nvPicPr>
        <xdr:cNvPr id="29" name="Рисунок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72090" y="2576349"/>
          <a:ext cx="238125" cy="247650"/>
        </a:xfrm>
        <a:prstGeom prst="rect">
          <a:avLst/>
        </a:prstGeom>
      </xdr:spPr>
    </xdr:pic>
    <xdr:clientData/>
  </xdr:twoCellAnchor>
  <xdr:twoCellAnchor editAs="oneCell">
    <xdr:from>
      <xdr:col>31</xdr:col>
      <xdr:colOff>428296</xdr:colOff>
      <xdr:row>6</xdr:row>
      <xdr:rowOff>375745</xdr:rowOff>
    </xdr:from>
    <xdr:to>
      <xdr:col>31</xdr:col>
      <xdr:colOff>666421</xdr:colOff>
      <xdr:row>7</xdr:row>
      <xdr:rowOff>242395</xdr:rowOff>
    </xdr:to>
    <xdr:pic>
      <xdr:nvPicPr>
        <xdr:cNvPr id="31" name="Рисунок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58951" y="1952297"/>
          <a:ext cx="238125" cy="247650"/>
        </a:xfrm>
        <a:prstGeom prst="rect">
          <a:avLst/>
        </a:prstGeom>
      </xdr:spPr>
    </xdr:pic>
    <xdr:clientData/>
  </xdr:twoCellAnchor>
  <xdr:twoCellAnchor editAs="oneCell">
    <xdr:from>
      <xdr:col>31</xdr:col>
      <xdr:colOff>422182</xdr:colOff>
      <xdr:row>8</xdr:row>
      <xdr:rowOff>4295</xdr:rowOff>
    </xdr:from>
    <xdr:to>
      <xdr:col>31</xdr:col>
      <xdr:colOff>660307</xdr:colOff>
      <xdr:row>8</xdr:row>
      <xdr:rowOff>251945</xdr:rowOff>
    </xdr:to>
    <xdr:pic>
      <xdr:nvPicPr>
        <xdr:cNvPr id="20" name="Рисунок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42932" y="2202372"/>
          <a:ext cx="238125" cy="247650"/>
        </a:xfrm>
        <a:prstGeom prst="rect">
          <a:avLst/>
        </a:prstGeom>
      </xdr:spPr>
    </xdr:pic>
    <xdr:clientData/>
  </xdr:twoCellAnchor>
  <xdr:twoCellAnchor editAs="oneCell">
    <xdr:from>
      <xdr:col>31</xdr:col>
      <xdr:colOff>417635</xdr:colOff>
      <xdr:row>3</xdr:row>
      <xdr:rowOff>14654</xdr:rowOff>
    </xdr:from>
    <xdr:to>
      <xdr:col>31</xdr:col>
      <xdr:colOff>655760</xdr:colOff>
      <xdr:row>3</xdr:row>
      <xdr:rowOff>263618</xdr:rowOff>
    </xdr:to>
    <xdr:pic>
      <xdr:nvPicPr>
        <xdr:cNvPr id="22" name="Рисунок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38385" y="776654"/>
          <a:ext cx="238125" cy="248964"/>
        </a:xfrm>
        <a:prstGeom prst="rect">
          <a:avLst/>
        </a:prstGeom>
      </xdr:spPr>
    </xdr:pic>
    <xdr:clientData/>
  </xdr:twoCellAnchor>
  <xdr:twoCellAnchor editAs="oneCell">
    <xdr:from>
      <xdr:col>31</xdr:col>
      <xdr:colOff>424203</xdr:colOff>
      <xdr:row>4</xdr:row>
      <xdr:rowOff>10359</xdr:rowOff>
    </xdr:from>
    <xdr:to>
      <xdr:col>31</xdr:col>
      <xdr:colOff>662328</xdr:colOff>
      <xdr:row>4</xdr:row>
      <xdr:rowOff>258009</xdr:rowOff>
    </xdr:to>
    <xdr:pic>
      <xdr:nvPicPr>
        <xdr:cNvPr id="30" name="Рисунок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44953" y="1036128"/>
          <a:ext cx="238125" cy="2476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219075</xdr:colOff>
          <xdr:row>3</xdr:row>
          <xdr:rowOff>47625</xdr:rowOff>
        </xdr:from>
        <xdr:to>
          <xdr:col>11</xdr:col>
          <xdr:colOff>304800</xdr:colOff>
          <xdr:row>6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Поиск F5 &gt; F1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Q21"/>
  <sheetViews>
    <sheetView tabSelected="1" zoomScale="130" zoomScaleNormal="130" workbookViewId="0">
      <pane xSplit="2" ySplit="2" topLeftCell="V3" activePane="bottomRight" state="frozen"/>
      <selection pane="topRight" activeCell="C1" sqref="C1"/>
      <selection pane="bottomLeft" activeCell="A3" sqref="A3"/>
      <selection pane="bottomRight" activeCell="A4" sqref="A4:XFD4"/>
    </sheetView>
  </sheetViews>
  <sheetFormatPr defaultRowHeight="15" x14ac:dyDescent="0.25"/>
  <cols>
    <col min="1" max="1" width="14.7109375" customWidth="1"/>
    <col min="2" max="2" width="4.7109375" bestFit="1" customWidth="1"/>
    <col min="3" max="13" width="10.85546875" customWidth="1"/>
    <col min="14" max="14" width="9.7109375" customWidth="1"/>
    <col min="15" max="15" width="13.140625" customWidth="1"/>
    <col min="16" max="16" width="9.7109375" customWidth="1"/>
    <col min="17" max="18" width="3.85546875" bestFit="1" customWidth="1"/>
    <col min="19" max="19" width="11.85546875" bestFit="1" customWidth="1"/>
    <col min="20" max="20" width="12.7109375" bestFit="1" customWidth="1"/>
    <col min="21" max="21" width="12.28515625" bestFit="1" customWidth="1"/>
    <col min="22" max="22" width="10.85546875" bestFit="1" customWidth="1"/>
    <col min="23" max="23" width="10.85546875" customWidth="1"/>
    <col min="25" max="25" width="11.42578125" bestFit="1" customWidth="1"/>
    <col min="26" max="26" width="12" bestFit="1" customWidth="1"/>
    <col min="28" max="28" width="9.140625" customWidth="1"/>
    <col min="29" max="29" width="14.7109375" bestFit="1" customWidth="1"/>
    <col min="30" max="31" width="14.5703125" bestFit="1" customWidth="1"/>
    <col min="32" max="32" width="16" bestFit="1" customWidth="1"/>
    <col min="33" max="33" width="10.140625" customWidth="1"/>
    <col min="34" max="34" width="8.28515625" customWidth="1"/>
    <col min="42" max="42" width="9.140625" customWidth="1"/>
  </cols>
  <sheetData>
    <row r="1" spans="1:43" ht="16.5" thickBot="1" x14ac:dyDescent="0.3">
      <c r="A1" s="151" t="s">
        <v>9</v>
      </c>
      <c r="B1" s="151" t="s">
        <v>16</v>
      </c>
      <c r="C1" s="154" t="s">
        <v>39</v>
      </c>
      <c r="D1" s="158"/>
      <c r="E1" s="158"/>
      <c r="F1" s="159"/>
      <c r="G1" s="151" t="s">
        <v>10</v>
      </c>
      <c r="H1" s="154" t="s">
        <v>11</v>
      </c>
      <c r="I1" s="154" t="s">
        <v>42</v>
      </c>
      <c r="J1" s="158"/>
      <c r="K1" s="158"/>
      <c r="L1" s="158"/>
      <c r="M1" s="158"/>
      <c r="N1" s="158"/>
      <c r="O1" s="158"/>
      <c r="P1" s="159"/>
      <c r="Q1" s="167" t="s">
        <v>91</v>
      </c>
      <c r="R1" s="168"/>
      <c r="S1" s="168"/>
      <c r="T1" s="168"/>
      <c r="U1" s="169"/>
      <c r="V1" s="160" t="s">
        <v>38</v>
      </c>
      <c r="W1" s="160"/>
      <c r="X1" s="161"/>
      <c r="Y1" s="161"/>
      <c r="Z1" s="161"/>
      <c r="AA1" s="161"/>
      <c r="AB1" s="162"/>
      <c r="AC1" s="163" t="s">
        <v>43</v>
      </c>
      <c r="AD1" s="165" t="s">
        <v>44</v>
      </c>
      <c r="AE1" s="166"/>
      <c r="AF1" s="156" t="s">
        <v>37</v>
      </c>
      <c r="AG1" s="157"/>
      <c r="AH1" s="157"/>
      <c r="AI1" s="157"/>
      <c r="AJ1" s="157"/>
      <c r="AK1" s="157"/>
      <c r="AL1" s="157"/>
      <c r="AM1" s="157"/>
      <c r="AN1" s="157"/>
      <c r="AO1" s="157"/>
      <c r="AP1" s="157"/>
      <c r="AQ1" s="157"/>
    </row>
    <row r="2" spans="1:43" s="1" customFormat="1" ht="32.25" thickBot="1" x14ac:dyDescent="0.3">
      <c r="A2" s="152"/>
      <c r="B2" s="152"/>
      <c r="C2" s="18" t="s">
        <v>33</v>
      </c>
      <c r="D2" s="18" t="s">
        <v>34</v>
      </c>
      <c r="E2" s="19" t="s">
        <v>35</v>
      </c>
      <c r="F2" s="26" t="s">
        <v>36</v>
      </c>
      <c r="G2" s="153"/>
      <c r="H2" s="155"/>
      <c r="I2" s="18" t="s">
        <v>12</v>
      </c>
      <c r="J2" s="18" t="s">
        <v>13</v>
      </c>
      <c r="K2" s="18" t="s">
        <v>14</v>
      </c>
      <c r="L2" s="53" t="s">
        <v>32</v>
      </c>
      <c r="M2" s="55" t="s">
        <v>104</v>
      </c>
      <c r="N2" s="55" t="s">
        <v>47</v>
      </c>
      <c r="O2" s="115" t="s">
        <v>90</v>
      </c>
      <c r="P2" s="120" t="s">
        <v>59</v>
      </c>
      <c r="Q2" s="115" t="s">
        <v>69</v>
      </c>
      <c r="R2" s="115" t="s">
        <v>62</v>
      </c>
      <c r="S2" s="115" t="s">
        <v>84</v>
      </c>
      <c r="T2" s="115" t="s">
        <v>83</v>
      </c>
      <c r="U2" s="115" t="s">
        <v>82</v>
      </c>
      <c r="V2" s="116" t="s">
        <v>103</v>
      </c>
      <c r="W2" s="134" t="s">
        <v>26</v>
      </c>
      <c r="X2" s="18" t="s">
        <v>27</v>
      </c>
      <c r="Y2" s="18" t="s">
        <v>28</v>
      </c>
      <c r="Z2" s="18" t="s">
        <v>30</v>
      </c>
      <c r="AA2" s="18" t="s">
        <v>31</v>
      </c>
      <c r="AB2" s="18" t="s">
        <v>29</v>
      </c>
      <c r="AC2" s="164"/>
      <c r="AD2" s="52" t="s">
        <v>46</v>
      </c>
      <c r="AE2" s="52" t="s">
        <v>45</v>
      </c>
      <c r="AF2" s="18" t="s">
        <v>40</v>
      </c>
      <c r="AG2" s="18"/>
      <c r="AH2" s="18"/>
      <c r="AI2" s="18"/>
      <c r="AJ2" s="18"/>
      <c r="AK2" s="18"/>
      <c r="AL2" s="18"/>
      <c r="AM2" s="18"/>
      <c r="AN2" s="18"/>
      <c r="AO2" s="18"/>
      <c r="AP2" s="19"/>
      <c r="AQ2" s="30" t="s">
        <v>41</v>
      </c>
    </row>
    <row r="3" spans="1:43" s="5" customFormat="1" ht="21" customHeight="1" x14ac:dyDescent="0.25">
      <c r="A3" s="40" t="s">
        <v>5</v>
      </c>
      <c r="B3" s="15" t="s">
        <v>17</v>
      </c>
      <c r="C3" s="15">
        <v>10</v>
      </c>
      <c r="D3" s="15">
        <v>5</v>
      </c>
      <c r="E3" s="20"/>
      <c r="F3" s="27">
        <f>SUM(C3:E3)</f>
        <v>15</v>
      </c>
      <c r="G3" s="22"/>
      <c r="H3" s="20"/>
      <c r="I3" s="17">
        <v>7</v>
      </c>
      <c r="J3" s="15">
        <v>7</v>
      </c>
      <c r="K3" s="16">
        <v>0</v>
      </c>
      <c r="L3" s="111">
        <f>SUM(I3:K3)</f>
        <v>14</v>
      </c>
      <c r="M3" s="16">
        <v>1</v>
      </c>
      <c r="N3" s="94">
        <f>Провиант!B3</f>
        <v>3</v>
      </c>
      <c r="O3" s="95">
        <f>Провиант!C3</f>
        <v>3</v>
      </c>
      <c r="P3" s="119">
        <f>Провиант!D3</f>
        <v>0</v>
      </c>
      <c r="Q3" s="94">
        <f>Энергия!B3</f>
        <v>1</v>
      </c>
      <c r="R3" s="95">
        <f>Энергия!C3</f>
        <v>0</v>
      </c>
      <c r="S3" s="95">
        <f>Энергия!V3</f>
        <v>103.75</v>
      </c>
      <c r="T3" s="95">
        <f>Энергия!W3</f>
        <v>60</v>
      </c>
      <c r="U3" s="114">
        <f>Энергия!X3</f>
        <v>-43.75</v>
      </c>
      <c r="V3" s="22">
        <f>(10+14+4+3)-M3*8</f>
        <v>23</v>
      </c>
      <c r="W3" s="22">
        <f>M3*4</f>
        <v>4</v>
      </c>
      <c r="X3" s="15">
        <f>11</f>
        <v>11</v>
      </c>
      <c r="Y3" s="15">
        <f>23</f>
        <v>23</v>
      </c>
      <c r="Z3" s="15">
        <f>5</f>
        <v>5</v>
      </c>
      <c r="AA3" s="15"/>
      <c r="AB3" s="16">
        <f>70</f>
        <v>70</v>
      </c>
      <c r="AC3" s="76">
        <v>18846379</v>
      </c>
      <c r="AD3" s="117">
        <f>AC3*127/1000</f>
        <v>2393490.1329999999</v>
      </c>
      <c r="AE3" s="118">
        <f>N3*Провиант!$B$12+База!O3*Провиант!$C$12</f>
        <v>946259.7</v>
      </c>
      <c r="AF3" s="22"/>
      <c r="AG3" s="31"/>
      <c r="AH3" s="31"/>
      <c r="AI3" s="31">
        <v>0.05</v>
      </c>
      <c r="AJ3" s="31"/>
      <c r="AK3" s="31"/>
      <c r="AL3" s="31"/>
      <c r="AM3" s="31">
        <v>0.05</v>
      </c>
      <c r="AN3" s="31">
        <v>7.0000000000000007E-2</v>
      </c>
      <c r="AO3" s="31">
        <v>0.1</v>
      </c>
      <c r="AP3" s="36">
        <v>0.73</v>
      </c>
      <c r="AQ3" s="32">
        <f>1-SUM(AG3:AP3)</f>
        <v>0</v>
      </c>
    </row>
    <row r="4" spans="1:43" s="3" customFormat="1" ht="21" customHeight="1" x14ac:dyDescent="0.25">
      <c r="A4" s="41" t="s">
        <v>0</v>
      </c>
      <c r="B4" s="2" t="s">
        <v>18</v>
      </c>
      <c r="C4" s="2">
        <v>19</v>
      </c>
      <c r="D4" s="2">
        <v>5</v>
      </c>
      <c r="E4" s="7">
        <v>4</v>
      </c>
      <c r="F4" s="28">
        <f t="shared" ref="F4:F11" si="0">SUM(C4:E4)</f>
        <v>28</v>
      </c>
      <c r="G4" s="23"/>
      <c r="H4" s="7"/>
      <c r="I4" s="10">
        <v>10</v>
      </c>
      <c r="J4" s="2">
        <v>13</v>
      </c>
      <c r="K4" s="11">
        <v>5</v>
      </c>
      <c r="L4" s="112">
        <f t="shared" ref="L4:L11" si="1">SUM(I4:K4)</f>
        <v>28</v>
      </c>
      <c r="M4" s="11">
        <v>4</v>
      </c>
      <c r="N4" s="10">
        <f>Провиант!B4</f>
        <v>5</v>
      </c>
      <c r="O4" s="2">
        <f>Провиант!C4</f>
        <v>10</v>
      </c>
      <c r="P4" s="7">
        <f>Провиант!D4</f>
        <v>0</v>
      </c>
      <c r="Q4" s="10">
        <f>Энергия!B4</f>
        <v>3</v>
      </c>
      <c r="R4" s="2">
        <f>Энергия!C4</f>
        <v>0</v>
      </c>
      <c r="S4" s="2">
        <f>Энергия!V4</f>
        <v>226.25</v>
      </c>
      <c r="T4" s="2">
        <f>Энергия!W4</f>
        <v>180</v>
      </c>
      <c r="U4" s="11">
        <f>Энергия!X4</f>
        <v>-46.25</v>
      </c>
      <c r="V4" s="23">
        <f>(172+30+27)-M4*8</f>
        <v>197</v>
      </c>
      <c r="W4" s="138">
        <f t="shared" ref="W4:W11" si="2">M4*4</f>
        <v>16</v>
      </c>
      <c r="X4" s="2">
        <f>12+16</f>
        <v>28</v>
      </c>
      <c r="Y4" s="2">
        <f>16</f>
        <v>16</v>
      </c>
      <c r="Z4" s="2">
        <f>92</f>
        <v>92</v>
      </c>
      <c r="AA4" s="2"/>
      <c r="AB4" s="11">
        <f>5</f>
        <v>5</v>
      </c>
      <c r="AC4" s="75">
        <v>75685389</v>
      </c>
      <c r="AD4" s="83">
        <f t="shared" ref="AD4:AD11" si="3">AC4*127/1000</f>
        <v>9612044.4030000009</v>
      </c>
      <c r="AE4" s="88">
        <f>N4*Провиант!$B$12+База!O4*Провиант!$C$12</f>
        <v>1654199</v>
      </c>
      <c r="AF4" s="23"/>
      <c r="AG4" s="33">
        <v>0.4</v>
      </c>
      <c r="AH4" s="33">
        <v>0.25</v>
      </c>
      <c r="AI4" s="33">
        <v>0.25</v>
      </c>
      <c r="AJ4" s="33">
        <v>0.1</v>
      </c>
      <c r="AK4" s="33"/>
      <c r="AL4" s="33"/>
      <c r="AM4" s="33"/>
      <c r="AN4" s="33"/>
      <c r="AO4" s="33"/>
      <c r="AP4" s="37"/>
      <c r="AQ4" s="32">
        <f t="shared" ref="AQ4:AQ11" si="4">1-SUM(AG4:AP4)</f>
        <v>0</v>
      </c>
    </row>
    <row r="5" spans="1:43" s="5" customFormat="1" ht="21" customHeight="1" x14ac:dyDescent="0.25">
      <c r="A5" s="42" t="s">
        <v>4</v>
      </c>
      <c r="B5" s="4" t="s">
        <v>19</v>
      </c>
      <c r="C5" s="4">
        <v>6</v>
      </c>
      <c r="D5" s="4">
        <v>2</v>
      </c>
      <c r="E5" s="6">
        <v>2</v>
      </c>
      <c r="F5" s="27">
        <f t="shared" si="0"/>
        <v>10</v>
      </c>
      <c r="G5" s="24"/>
      <c r="H5" s="6"/>
      <c r="I5" s="8">
        <v>15</v>
      </c>
      <c r="J5" s="4">
        <v>7</v>
      </c>
      <c r="K5" s="9">
        <v>12</v>
      </c>
      <c r="L5" s="111">
        <f t="shared" si="1"/>
        <v>34</v>
      </c>
      <c r="M5" s="9">
        <v>5</v>
      </c>
      <c r="N5" s="8">
        <f>Провиант!B5</f>
        <v>8</v>
      </c>
      <c r="O5" s="4">
        <f>Провиант!C5</f>
        <v>8</v>
      </c>
      <c r="P5" s="6">
        <f>Провиант!D5</f>
        <v>2</v>
      </c>
      <c r="Q5" s="8">
        <f>Энергия!B5</f>
        <v>2</v>
      </c>
      <c r="R5" s="4">
        <f>Энергия!C5</f>
        <v>1</v>
      </c>
      <c r="S5" s="4">
        <f>Энергия!V5</f>
        <v>256.5</v>
      </c>
      <c r="T5" s="4">
        <f>Энергия!W5</f>
        <v>270</v>
      </c>
      <c r="U5" s="9">
        <f>Энергия!X5</f>
        <v>13.5</v>
      </c>
      <c r="V5" s="24">
        <f>20+203+108-5-M5*8</f>
        <v>286</v>
      </c>
      <c r="W5" s="22">
        <f t="shared" si="2"/>
        <v>20</v>
      </c>
      <c r="X5" s="4">
        <f>40</f>
        <v>40</v>
      </c>
      <c r="Y5" s="4">
        <f>189</f>
        <v>189</v>
      </c>
      <c r="Z5" s="4">
        <f>15+28+39</f>
        <v>82</v>
      </c>
      <c r="AA5" s="4">
        <f>342+150</f>
        <v>492</v>
      </c>
      <c r="AB5" s="9">
        <f>12+320</f>
        <v>332</v>
      </c>
      <c r="AC5" s="76">
        <v>65982200</v>
      </c>
      <c r="AD5" s="85">
        <f t="shared" si="3"/>
        <v>8379739.4000000004</v>
      </c>
      <c r="AE5" s="84">
        <f>N5*Провиант!$B$12+База!O5*Провиант!$C$12</f>
        <v>2523359.2000000002</v>
      </c>
      <c r="AF5" s="24"/>
      <c r="AG5" s="34"/>
      <c r="AH5" s="34"/>
      <c r="AI5" s="34"/>
      <c r="AJ5" s="34"/>
      <c r="AK5" s="34">
        <v>0.1</v>
      </c>
      <c r="AL5" s="34">
        <v>0.19</v>
      </c>
      <c r="AM5" s="34">
        <v>0.12</v>
      </c>
      <c r="AN5" s="34">
        <v>0.08</v>
      </c>
      <c r="AO5" s="34">
        <v>0.47</v>
      </c>
      <c r="AP5" s="38">
        <v>0.04</v>
      </c>
      <c r="AQ5" s="32">
        <f t="shared" si="4"/>
        <v>0</v>
      </c>
    </row>
    <row r="6" spans="1:43" s="3" customFormat="1" ht="21" customHeight="1" x14ac:dyDescent="0.25">
      <c r="A6" s="41" t="s">
        <v>1</v>
      </c>
      <c r="B6" s="2" t="s">
        <v>20</v>
      </c>
      <c r="C6" s="2">
        <v>22</v>
      </c>
      <c r="D6" s="2">
        <v>4</v>
      </c>
      <c r="E6" s="7"/>
      <c r="F6" s="28">
        <f t="shared" si="0"/>
        <v>26</v>
      </c>
      <c r="G6" s="23"/>
      <c r="H6" s="7"/>
      <c r="I6" s="10">
        <v>12</v>
      </c>
      <c r="J6" s="2">
        <v>9</v>
      </c>
      <c r="K6" s="11">
        <v>3</v>
      </c>
      <c r="L6" s="112">
        <f t="shared" si="1"/>
        <v>24</v>
      </c>
      <c r="M6" s="11">
        <v>2</v>
      </c>
      <c r="N6" s="10">
        <f>Провиант!B6</f>
        <v>5</v>
      </c>
      <c r="O6" s="2">
        <f>Провиант!C6</f>
        <v>20</v>
      </c>
      <c r="P6" s="7">
        <f>Провиант!D6</f>
        <v>0</v>
      </c>
      <c r="Q6" s="10">
        <f>Энергия!B6</f>
        <v>3</v>
      </c>
      <c r="R6" s="2">
        <f>Энергия!C6</f>
        <v>0</v>
      </c>
      <c r="S6" s="2">
        <f>Энергия!V6</f>
        <v>195.75</v>
      </c>
      <c r="T6" s="2">
        <f>Энергия!W6</f>
        <v>180</v>
      </c>
      <c r="U6" s="11">
        <f>Энергия!X6</f>
        <v>-15.75</v>
      </c>
      <c r="V6" s="23">
        <f>70+19+10-M6*8</f>
        <v>83</v>
      </c>
      <c r="W6" s="138">
        <f t="shared" si="2"/>
        <v>8</v>
      </c>
      <c r="X6" s="2">
        <f>10+25</f>
        <v>35</v>
      </c>
      <c r="Y6" s="2">
        <f>24</f>
        <v>24</v>
      </c>
      <c r="Z6" s="2">
        <f>50</f>
        <v>50</v>
      </c>
      <c r="AA6" s="2"/>
      <c r="AB6" s="11">
        <f>80</f>
        <v>80</v>
      </c>
      <c r="AC6" s="75">
        <f>119352255+3161910</f>
        <v>122514165</v>
      </c>
      <c r="AD6" s="83">
        <f t="shared" si="3"/>
        <v>15559298.955</v>
      </c>
      <c r="AE6" s="88">
        <f>N6*Провиант!$B$12+База!O6*Провиант!$C$12</f>
        <v>1808398</v>
      </c>
      <c r="AF6" s="23"/>
      <c r="AG6" s="33"/>
      <c r="AH6" s="33"/>
      <c r="AI6" s="33">
        <v>0.13</v>
      </c>
      <c r="AJ6" s="33"/>
      <c r="AK6" s="33"/>
      <c r="AL6" s="33"/>
      <c r="AM6" s="33"/>
      <c r="AN6" s="33">
        <v>0.2</v>
      </c>
      <c r="AO6" s="33">
        <v>0.52</v>
      </c>
      <c r="AP6" s="37">
        <v>0.15</v>
      </c>
      <c r="AQ6" s="32">
        <f t="shared" si="4"/>
        <v>0</v>
      </c>
    </row>
    <row r="7" spans="1:43" s="5" customFormat="1" ht="30" x14ac:dyDescent="0.25">
      <c r="A7" s="42" t="s">
        <v>7</v>
      </c>
      <c r="B7" s="4" t="s">
        <v>21</v>
      </c>
      <c r="C7" s="4">
        <v>19</v>
      </c>
      <c r="D7" s="4">
        <v>4</v>
      </c>
      <c r="E7" s="6">
        <v>5</v>
      </c>
      <c r="F7" s="27">
        <f t="shared" si="0"/>
        <v>28</v>
      </c>
      <c r="G7" s="24"/>
      <c r="H7" s="6"/>
      <c r="I7" s="8">
        <v>23</v>
      </c>
      <c r="J7" s="4">
        <v>12</v>
      </c>
      <c r="K7" s="9">
        <v>9</v>
      </c>
      <c r="L7" s="111">
        <f t="shared" si="1"/>
        <v>44</v>
      </c>
      <c r="M7" s="9">
        <v>5</v>
      </c>
      <c r="N7" s="8">
        <f>Провиант!B7</f>
        <v>10</v>
      </c>
      <c r="O7" s="4">
        <f>Провиант!C7</f>
        <v>15</v>
      </c>
      <c r="P7" s="6">
        <f>Провиант!D7</f>
        <v>5</v>
      </c>
      <c r="Q7" s="8">
        <f>Энергия!B7</f>
        <v>3</v>
      </c>
      <c r="R7" s="4">
        <f>Энергия!C7</f>
        <v>1</v>
      </c>
      <c r="S7" s="4">
        <f>Энергия!V7</f>
        <v>332</v>
      </c>
      <c r="T7" s="4">
        <f>Энергия!W7</f>
        <v>330</v>
      </c>
      <c r="U7" s="9">
        <f>Энергия!X7</f>
        <v>-2</v>
      </c>
      <c r="V7" s="24">
        <f>21+50+209-M7*8</f>
        <v>240</v>
      </c>
      <c r="W7" s="22">
        <f t="shared" si="2"/>
        <v>20</v>
      </c>
      <c r="X7" s="4"/>
      <c r="Y7" s="4">
        <f>128</f>
        <v>128</v>
      </c>
      <c r="Z7" s="4">
        <f>204+19</f>
        <v>223</v>
      </c>
      <c r="AA7" s="4"/>
      <c r="AB7" s="9">
        <f>7+5+12</f>
        <v>24</v>
      </c>
      <c r="AC7" s="76">
        <v>79419206</v>
      </c>
      <c r="AD7" s="85">
        <f t="shared" si="3"/>
        <v>10086239.162</v>
      </c>
      <c r="AE7" s="84">
        <f>N7*Провиант!$B$12+База!O7*Провиант!$C$12</f>
        <v>3231298.5</v>
      </c>
      <c r="AF7" s="24"/>
      <c r="AG7" s="34"/>
      <c r="AH7" s="34"/>
      <c r="AI7" s="34"/>
      <c r="AJ7" s="34"/>
      <c r="AK7" s="34">
        <v>0.1</v>
      </c>
      <c r="AL7" s="34">
        <v>0.15</v>
      </c>
      <c r="AM7" s="34">
        <v>0.75</v>
      </c>
      <c r="AN7" s="34"/>
      <c r="AO7" s="34"/>
      <c r="AP7" s="38"/>
      <c r="AQ7" s="32">
        <f t="shared" si="4"/>
        <v>0</v>
      </c>
    </row>
    <row r="8" spans="1:43" s="3" customFormat="1" ht="21" customHeight="1" x14ac:dyDescent="0.25">
      <c r="A8" s="41" t="s">
        <v>2</v>
      </c>
      <c r="B8" s="2" t="s">
        <v>22</v>
      </c>
      <c r="C8" s="2">
        <v>24</v>
      </c>
      <c r="D8" s="2">
        <v>7</v>
      </c>
      <c r="E8" s="7">
        <v>13</v>
      </c>
      <c r="F8" s="28">
        <f t="shared" si="0"/>
        <v>44</v>
      </c>
      <c r="G8" s="23"/>
      <c r="H8" s="7"/>
      <c r="I8" s="10">
        <v>20</v>
      </c>
      <c r="J8" s="2">
        <v>14</v>
      </c>
      <c r="K8" s="11">
        <v>7</v>
      </c>
      <c r="L8" s="112">
        <f t="shared" si="1"/>
        <v>41</v>
      </c>
      <c r="M8" s="11">
        <v>6</v>
      </c>
      <c r="N8" s="10">
        <f>Провиант!B8</f>
        <v>6</v>
      </c>
      <c r="O8" s="2">
        <f>Провиант!C8</f>
        <v>23</v>
      </c>
      <c r="P8" s="7">
        <f>Провиант!D8</f>
        <v>3</v>
      </c>
      <c r="Q8" s="10">
        <f>Энергия!B8</f>
        <v>1</v>
      </c>
      <c r="R8" s="2">
        <f>Энергия!C8</f>
        <v>2</v>
      </c>
      <c r="S8" s="2">
        <f>Энергия!V8</f>
        <v>330.5</v>
      </c>
      <c r="T8" s="2">
        <f>Энергия!W8</f>
        <v>360</v>
      </c>
      <c r="U8" s="11">
        <f>Энергия!X8</f>
        <v>29.5</v>
      </c>
      <c r="V8" s="23">
        <f>50+125-M8*8</f>
        <v>127</v>
      </c>
      <c r="W8" s="138">
        <f t="shared" si="2"/>
        <v>24</v>
      </c>
      <c r="X8" s="2">
        <f>12+35</f>
        <v>47</v>
      </c>
      <c r="Y8" s="2">
        <f>19+44+77</f>
        <v>140</v>
      </c>
      <c r="Z8" s="2">
        <f>44</f>
        <v>44</v>
      </c>
      <c r="AA8" s="2"/>
      <c r="AB8" s="11">
        <v>5</v>
      </c>
      <c r="AC8" s="75">
        <v>63388546</v>
      </c>
      <c r="AD8" s="83">
        <f t="shared" si="3"/>
        <v>8050345.3420000002</v>
      </c>
      <c r="AE8" s="88">
        <f>N8*Провиант!$B$12+База!O8*Провиант!$C$12</f>
        <v>2154657.7000000002</v>
      </c>
      <c r="AF8" s="23"/>
      <c r="AG8" s="33"/>
      <c r="AH8" s="33"/>
      <c r="AI8" s="33">
        <v>0.11</v>
      </c>
      <c r="AJ8" s="33">
        <v>0.4</v>
      </c>
      <c r="AK8" s="33">
        <v>0.17</v>
      </c>
      <c r="AL8" s="33">
        <v>7.0000000000000007E-2</v>
      </c>
      <c r="AM8" s="33">
        <v>0.15</v>
      </c>
      <c r="AN8" s="33">
        <v>0.1</v>
      </c>
      <c r="AO8" s="33"/>
      <c r="AP8" s="37"/>
      <c r="AQ8" s="32">
        <f t="shared" si="4"/>
        <v>0</v>
      </c>
    </row>
    <row r="9" spans="1:43" s="5" customFormat="1" ht="21" customHeight="1" x14ac:dyDescent="0.25">
      <c r="A9" s="42" t="s">
        <v>6</v>
      </c>
      <c r="B9" s="4" t="s">
        <v>23</v>
      </c>
      <c r="C9" s="4">
        <v>9</v>
      </c>
      <c r="D9" s="4">
        <v>3</v>
      </c>
      <c r="E9" s="6"/>
      <c r="F9" s="27">
        <f t="shared" si="0"/>
        <v>12</v>
      </c>
      <c r="G9" s="24"/>
      <c r="H9" s="6"/>
      <c r="I9" s="8">
        <v>6</v>
      </c>
      <c r="J9" s="4">
        <v>6</v>
      </c>
      <c r="K9" s="9">
        <v>0</v>
      </c>
      <c r="L9" s="111">
        <f t="shared" si="1"/>
        <v>12</v>
      </c>
      <c r="M9" s="9">
        <v>1</v>
      </c>
      <c r="N9" s="8">
        <f>Провиант!B9</f>
        <v>4</v>
      </c>
      <c r="O9" s="4">
        <f>Провиант!C9</f>
        <v>4</v>
      </c>
      <c r="P9" s="6">
        <f>Провиант!D9</f>
        <v>0</v>
      </c>
      <c r="Q9" s="8">
        <f>Энергия!B9</f>
        <v>2</v>
      </c>
      <c r="R9" s="4">
        <f>Энергия!C9</f>
        <v>0</v>
      </c>
      <c r="S9" s="4">
        <f>Энергия!V9</f>
        <v>87.5</v>
      </c>
      <c r="T9" s="4">
        <f>Энергия!W9</f>
        <v>120</v>
      </c>
      <c r="U9" s="9">
        <f>Энергия!X9</f>
        <v>32.5</v>
      </c>
      <c r="V9" s="24">
        <f>30-M9*8</f>
        <v>22</v>
      </c>
      <c r="W9" s="22">
        <f t="shared" si="2"/>
        <v>4</v>
      </c>
      <c r="X9" s="4"/>
      <c r="Y9" s="4">
        <f>77</f>
        <v>77</v>
      </c>
      <c r="Z9" s="4">
        <f>10+3</f>
        <v>13</v>
      </c>
      <c r="AA9" s="4"/>
      <c r="AB9" s="9">
        <v>8</v>
      </c>
      <c r="AC9" s="76">
        <v>22382937</v>
      </c>
      <c r="AD9" s="85">
        <f t="shared" si="3"/>
        <v>2842632.9989999998</v>
      </c>
      <c r="AE9" s="84">
        <f>N9*Провиант!$B$12+База!O9*Провиант!$C$12</f>
        <v>1261679.6000000001</v>
      </c>
      <c r="AF9" s="24"/>
      <c r="AG9" s="34"/>
      <c r="AH9" s="34"/>
      <c r="AI9" s="34"/>
      <c r="AJ9" s="34">
        <v>0.08</v>
      </c>
      <c r="AK9" s="34">
        <v>0.13</v>
      </c>
      <c r="AL9" s="34">
        <v>0.05</v>
      </c>
      <c r="AM9" s="34">
        <v>0.22</v>
      </c>
      <c r="AN9" s="34">
        <v>0.42</v>
      </c>
      <c r="AO9" s="34">
        <v>0.1</v>
      </c>
      <c r="AP9" s="38"/>
      <c r="AQ9" s="32">
        <f t="shared" si="4"/>
        <v>0</v>
      </c>
    </row>
    <row r="10" spans="1:43" s="3" customFormat="1" ht="21" customHeight="1" x14ac:dyDescent="0.25">
      <c r="A10" s="41" t="s">
        <v>8</v>
      </c>
      <c r="B10" s="2" t="s">
        <v>24</v>
      </c>
      <c r="C10" s="2">
        <v>9</v>
      </c>
      <c r="D10" s="2"/>
      <c r="E10" s="7"/>
      <c r="F10" s="28">
        <f t="shared" si="0"/>
        <v>9</v>
      </c>
      <c r="G10" s="23"/>
      <c r="H10" s="7"/>
      <c r="I10" s="10">
        <v>3</v>
      </c>
      <c r="J10" s="2">
        <v>2</v>
      </c>
      <c r="K10" s="11">
        <v>1</v>
      </c>
      <c r="L10" s="112">
        <f t="shared" si="1"/>
        <v>6</v>
      </c>
      <c r="M10" s="11"/>
      <c r="N10" s="10">
        <f>Провиант!B10</f>
        <v>3</v>
      </c>
      <c r="O10" s="2">
        <f>Провиант!C10</f>
        <v>7</v>
      </c>
      <c r="P10" s="7">
        <f>Провиант!D10</f>
        <v>1</v>
      </c>
      <c r="Q10" s="10">
        <f>Энергия!B10</f>
        <v>1</v>
      </c>
      <c r="R10" s="2">
        <f>Энергия!C10</f>
        <v>0</v>
      </c>
      <c r="S10" s="2">
        <f>Энергия!V10</f>
        <v>38.25</v>
      </c>
      <c r="T10" s="2">
        <f>Энергия!W10</f>
        <v>60</v>
      </c>
      <c r="U10" s="11">
        <f>Энергия!X10</f>
        <v>21.75</v>
      </c>
      <c r="V10" s="23">
        <v>83</v>
      </c>
      <c r="W10" s="138">
        <f t="shared" si="2"/>
        <v>0</v>
      </c>
      <c r="X10" s="2">
        <v>10</v>
      </c>
      <c r="Y10" s="2">
        <v>35</v>
      </c>
      <c r="Z10" s="2"/>
      <c r="AA10" s="2">
        <v>112</v>
      </c>
      <c r="AB10" s="11"/>
      <c r="AC10" s="75">
        <v>20541063</v>
      </c>
      <c r="AD10" s="83">
        <f t="shared" si="3"/>
        <v>2608715.0010000002</v>
      </c>
      <c r="AE10" s="88">
        <f>N10*Провиант!$B$12+База!O10*Провиант!$C$12</f>
        <v>1007939.3</v>
      </c>
      <c r="AF10" s="23"/>
      <c r="AG10" s="33"/>
      <c r="AH10" s="33"/>
      <c r="AI10" s="33"/>
      <c r="AJ10" s="33"/>
      <c r="AK10" s="33"/>
      <c r="AL10" s="33"/>
      <c r="AM10" s="33"/>
      <c r="AN10" s="33"/>
      <c r="AO10" s="33"/>
      <c r="AP10" s="37"/>
      <c r="AQ10" s="32">
        <f t="shared" si="4"/>
        <v>1</v>
      </c>
    </row>
    <row r="11" spans="1:43" s="5" customFormat="1" ht="21" customHeight="1" thickBot="1" x14ac:dyDescent="0.3">
      <c r="A11" s="43" t="s">
        <v>3</v>
      </c>
      <c r="B11" s="13" t="s">
        <v>25</v>
      </c>
      <c r="C11" s="13">
        <v>9</v>
      </c>
      <c r="D11" s="13"/>
      <c r="E11" s="21"/>
      <c r="F11" s="29">
        <f t="shared" si="0"/>
        <v>9</v>
      </c>
      <c r="G11" s="25"/>
      <c r="H11" s="21"/>
      <c r="I11" s="12">
        <v>3</v>
      </c>
      <c r="J11" s="13">
        <v>2</v>
      </c>
      <c r="K11" s="14">
        <v>0</v>
      </c>
      <c r="L11" s="113">
        <f t="shared" si="1"/>
        <v>5</v>
      </c>
      <c r="M11" s="14"/>
      <c r="N11" s="12">
        <f>Провиант!B11</f>
        <v>15</v>
      </c>
      <c r="O11" s="13">
        <f>Провиант!C11</f>
        <v>20</v>
      </c>
      <c r="P11" s="21">
        <f>Провиант!D11</f>
        <v>5</v>
      </c>
      <c r="Q11" s="12">
        <f>Энергия!B11</f>
        <v>1</v>
      </c>
      <c r="R11" s="13">
        <f>Энергия!C11</f>
        <v>0</v>
      </c>
      <c r="S11" s="13">
        <f>Энергия!V11</f>
        <v>44.75</v>
      </c>
      <c r="T11" s="13">
        <f>Энергия!W11</f>
        <v>60</v>
      </c>
      <c r="U11" s="14">
        <f>Энергия!X11</f>
        <v>15.25</v>
      </c>
      <c r="V11" s="25">
        <v>105</v>
      </c>
      <c r="W11" s="25">
        <f t="shared" si="2"/>
        <v>0</v>
      </c>
      <c r="X11" s="13"/>
      <c r="Y11" s="13"/>
      <c r="Z11" s="13">
        <f>18</f>
        <v>18</v>
      </c>
      <c r="AA11" s="13"/>
      <c r="AB11" s="14"/>
      <c r="AC11" s="77">
        <v>17932651</v>
      </c>
      <c r="AD11" s="86">
        <f t="shared" si="3"/>
        <v>2277446.6770000001</v>
      </c>
      <c r="AE11" s="87">
        <f>N11*Провиант!$B$12+База!O11*Провиант!$C$12</f>
        <v>4808398</v>
      </c>
      <c r="AF11" s="25"/>
      <c r="AG11" s="35"/>
      <c r="AH11" s="35"/>
      <c r="AI11" s="35"/>
      <c r="AJ11" s="35"/>
      <c r="AK11" s="35"/>
      <c r="AL11" s="35"/>
      <c r="AM11" s="35">
        <v>0.7</v>
      </c>
      <c r="AN11" s="35">
        <v>0.05</v>
      </c>
      <c r="AO11" s="35">
        <v>0.1</v>
      </c>
      <c r="AP11" s="39">
        <v>0.15</v>
      </c>
      <c r="AQ11" s="32">
        <f t="shared" si="4"/>
        <v>0</v>
      </c>
    </row>
    <row r="12" spans="1:43" x14ac:dyDescent="0.25">
      <c r="AC12" s="45"/>
      <c r="AD12" s="45">
        <f>SUM(AD3:AD11)</f>
        <v>61809952.072000004</v>
      </c>
      <c r="AE12" s="45"/>
    </row>
    <row r="13" spans="1:43" x14ac:dyDescent="0.25">
      <c r="AC13" s="45"/>
    </row>
    <row r="21" spans="12:23" x14ac:dyDescent="0.25">
      <c r="L21">
        <f>5000000/350</f>
        <v>14285.714285714286</v>
      </c>
      <c r="N21" s="50">
        <f>L21*1500*2.5/2000</f>
        <v>26785.714285714286</v>
      </c>
      <c r="O21" s="50"/>
      <c r="P21" s="50"/>
      <c r="Q21" s="50"/>
      <c r="R21" s="50"/>
      <c r="S21" s="50"/>
      <c r="T21" s="50"/>
      <c r="U21" s="50"/>
      <c r="V21" s="45">
        <f>N21*12</f>
        <v>321428.57142857142</v>
      </c>
      <c r="W21" s="45"/>
    </row>
  </sheetData>
  <sortState xmlns:xlrd2="http://schemas.microsoft.com/office/spreadsheetml/2017/richdata2" ref="A3:K11">
    <sortCondition ref="A3:A11"/>
  </sortState>
  <mergeCells count="11">
    <mergeCell ref="A1:A2"/>
    <mergeCell ref="G1:G2"/>
    <mergeCell ref="H1:H2"/>
    <mergeCell ref="AF1:AQ1"/>
    <mergeCell ref="C1:F1"/>
    <mergeCell ref="V1:AB1"/>
    <mergeCell ref="B1:B2"/>
    <mergeCell ref="AC1:AC2"/>
    <mergeCell ref="AD1:AE1"/>
    <mergeCell ref="I1:P1"/>
    <mergeCell ref="Q1:U1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E65-EAF7-411E-AD3B-DE11540F6651}">
  <sheetPr codeName="Лист2"/>
  <dimension ref="A1:AA159"/>
  <sheetViews>
    <sheetView zoomScaleNormal="100" workbookViewId="0">
      <selection activeCell="I12" sqref="I12"/>
    </sheetView>
  </sheetViews>
  <sheetFormatPr defaultRowHeight="15" x14ac:dyDescent="0.25"/>
  <cols>
    <col min="1" max="1" width="14" customWidth="1"/>
    <col min="2" max="2" width="9.7109375" customWidth="1"/>
    <col min="3" max="3" width="12.85546875" customWidth="1"/>
    <col min="4" max="4" width="10.7109375" bestFit="1" customWidth="1"/>
    <col min="5" max="5" width="14.7109375" bestFit="1" customWidth="1"/>
    <col min="6" max="7" width="14.7109375" customWidth="1"/>
    <col min="8" max="8" width="14.5703125" bestFit="1" customWidth="1"/>
    <col min="9" max="9" width="14.5703125" customWidth="1"/>
    <col min="10" max="10" width="11.5703125" bestFit="1" customWidth="1"/>
    <col min="11" max="11" width="14.85546875" customWidth="1"/>
    <col min="12" max="12" width="12.85546875" bestFit="1" customWidth="1"/>
    <col min="13" max="13" width="8.5703125" bestFit="1" customWidth="1"/>
    <col min="14" max="14" width="13" customWidth="1"/>
    <col min="15" max="15" width="12.7109375" bestFit="1" customWidth="1"/>
    <col min="16" max="16" width="10.5703125" bestFit="1" customWidth="1"/>
    <col min="17" max="17" width="12.7109375" customWidth="1"/>
    <col min="18" max="18" width="15.140625" style="57" customWidth="1"/>
    <col min="19" max="19" width="14" customWidth="1"/>
    <col min="20" max="20" width="14.140625" customWidth="1"/>
    <col min="21" max="21" width="16.7109375" customWidth="1"/>
    <col min="25" max="25" width="11.42578125" style="57" bestFit="1" customWidth="1"/>
    <col min="26" max="27" width="9.140625" style="57"/>
  </cols>
  <sheetData>
    <row r="1" spans="1:24" ht="15.75" thickBot="1" x14ac:dyDescent="0.3">
      <c r="A1" s="173" t="s">
        <v>9</v>
      </c>
      <c r="B1" s="171" t="s">
        <v>47</v>
      </c>
      <c r="C1" s="171" t="s">
        <v>90</v>
      </c>
      <c r="D1" s="171" t="s">
        <v>57</v>
      </c>
      <c r="E1" s="163" t="s">
        <v>43</v>
      </c>
      <c r="F1" s="165" t="s">
        <v>93</v>
      </c>
      <c r="G1" s="170"/>
      <c r="H1" s="170"/>
      <c r="I1" s="166"/>
    </row>
    <row r="2" spans="1:24" ht="39" thickBot="1" x14ac:dyDescent="0.3">
      <c r="A2" s="174"/>
      <c r="B2" s="172"/>
      <c r="C2" s="172"/>
      <c r="D2" s="172"/>
      <c r="E2" s="164"/>
      <c r="F2" s="62" t="s">
        <v>61</v>
      </c>
      <c r="G2" s="63" t="s">
        <v>49</v>
      </c>
      <c r="H2" s="108" t="s">
        <v>45</v>
      </c>
      <c r="I2" s="108" t="s">
        <v>48</v>
      </c>
      <c r="L2" s="78" t="s">
        <v>56</v>
      </c>
      <c r="M2" s="78" t="s">
        <v>57</v>
      </c>
      <c r="N2" s="78" t="s">
        <v>61</v>
      </c>
      <c r="O2" s="78" t="s">
        <v>49</v>
      </c>
      <c r="P2" s="78" t="s">
        <v>45</v>
      </c>
      <c r="Q2" s="78" t="s">
        <v>48</v>
      </c>
      <c r="R2" s="78" t="s">
        <v>60</v>
      </c>
      <c r="S2" s="78" t="s">
        <v>100</v>
      </c>
    </row>
    <row r="3" spans="1:24" ht="15.75" customHeight="1" x14ac:dyDescent="0.25">
      <c r="A3" s="67" t="s">
        <v>5</v>
      </c>
      <c r="B3" s="68">
        <v>3</v>
      </c>
      <c r="C3" s="68">
        <v>3</v>
      </c>
      <c r="D3" s="68"/>
      <c r="E3" s="54">
        <f>База!AC3</f>
        <v>18846379</v>
      </c>
      <c r="F3" s="54">
        <f>(H3+I3)*2</f>
        <v>1892519.4</v>
      </c>
      <c r="G3" s="104">
        <f t="shared" ref="G3:G11" si="0">E3*127/12000</f>
        <v>199457.51108333335</v>
      </c>
      <c r="H3" s="54">
        <f>B3*$B$12</f>
        <v>900000</v>
      </c>
      <c r="I3" s="54">
        <f>C3*$C$12</f>
        <v>46259.7</v>
      </c>
      <c r="J3" s="110">
        <f>H3+I3*12</f>
        <v>1455116.4</v>
      </c>
      <c r="K3" s="109">
        <f>G3*12</f>
        <v>2393490.1330000004</v>
      </c>
      <c r="L3" s="79" t="s">
        <v>5</v>
      </c>
      <c r="M3" s="80">
        <f>SUMIF($A$3:$A$11,$L$3,D$3:D$11)</f>
        <v>0</v>
      </c>
      <c r="N3" s="80">
        <f>SUMIF($A$3:$A$11,$L$3,F$3:F$11)</f>
        <v>1892519.4</v>
      </c>
      <c r="O3" s="80">
        <f>SUMIF($A$3:$A$11,$L$3,G$3:G$11)</f>
        <v>199457.51108333335</v>
      </c>
      <c r="P3" s="80">
        <f>SUMIF($A$3:$A$11,$L$3,H$3:H$11)</f>
        <v>900000</v>
      </c>
      <c r="Q3" s="80">
        <f>SUMIF($A$3:$A$11,$L$3,I$3:I$11)</f>
        <v>46259.7</v>
      </c>
      <c r="R3" s="126">
        <v>0.7</v>
      </c>
      <c r="S3" s="126">
        <f>IF(SUMIF($A$3:$A$11,$L$3,Энергия!Y3:Y11)&lt;1,(1-SUMIF($A$3:$A$11,$L$3,Энергия!Y3:Y11))*-0.5,0)</f>
        <v>-0.21084337349397592</v>
      </c>
    </row>
    <row r="4" spans="1:24" x14ac:dyDescent="0.25">
      <c r="A4" s="64" t="s">
        <v>0</v>
      </c>
      <c r="B4" s="69">
        <v>5</v>
      </c>
      <c r="C4" s="69">
        <v>10</v>
      </c>
      <c r="D4" s="69"/>
      <c r="E4" s="48">
        <f>База!AC4</f>
        <v>75685389</v>
      </c>
      <c r="F4" s="48">
        <f>(H4+I4)*2</f>
        <v>3308398</v>
      </c>
      <c r="G4" s="105">
        <f t="shared" si="0"/>
        <v>801003.70024999999</v>
      </c>
      <c r="H4" s="48">
        <f t="shared" ref="H4:H11" si="1">B4*$B$12</f>
        <v>1500000</v>
      </c>
      <c r="I4" s="48">
        <f t="shared" ref="I4:I11" si="2">C4*$C$12</f>
        <v>154199</v>
      </c>
      <c r="J4" s="110">
        <f t="shared" ref="J4:J11" si="3">H4+I4*12</f>
        <v>3350388</v>
      </c>
      <c r="K4" s="109">
        <f>G4*12</f>
        <v>9612044.4030000009</v>
      </c>
    </row>
    <row r="5" spans="1:24" x14ac:dyDescent="0.25">
      <c r="A5" s="65" t="s">
        <v>4</v>
      </c>
      <c r="B5" s="70">
        <v>8</v>
      </c>
      <c r="C5" s="70">
        <v>8</v>
      </c>
      <c r="D5" s="70">
        <v>2</v>
      </c>
      <c r="E5" s="46">
        <f>База!AC5</f>
        <v>65982200</v>
      </c>
      <c r="F5" s="46">
        <f>(H5+I5)*2</f>
        <v>5046718.4000000004</v>
      </c>
      <c r="G5" s="106">
        <f t="shared" si="0"/>
        <v>698311.6166666667</v>
      </c>
      <c r="H5" s="46">
        <f t="shared" si="1"/>
        <v>2400000</v>
      </c>
      <c r="I5" s="46">
        <f t="shared" si="2"/>
        <v>123359.2</v>
      </c>
      <c r="J5" s="110">
        <f t="shared" si="3"/>
        <v>3880310.4</v>
      </c>
      <c r="K5" s="109">
        <f t="shared" ref="K5:K11" si="4">G5*12</f>
        <v>8379739.4000000004</v>
      </c>
      <c r="Q5" s="133">
        <f>Q3+Q3*S3</f>
        <v>36506.148795180721</v>
      </c>
      <c r="S5" s="132"/>
    </row>
    <row r="6" spans="1:24" x14ac:dyDescent="0.25">
      <c r="A6" s="64" t="s">
        <v>1</v>
      </c>
      <c r="B6" s="69">
        <v>5</v>
      </c>
      <c r="C6" s="69">
        <v>20</v>
      </c>
      <c r="D6" s="69"/>
      <c r="E6" s="48">
        <f>База!AC6</f>
        <v>122514165</v>
      </c>
      <c r="F6" s="48">
        <f t="shared" ref="F6:F11" si="5">(H6+I6)*2</f>
        <v>3616796</v>
      </c>
      <c r="G6" s="105">
        <f t="shared" si="0"/>
        <v>1296608.2462500001</v>
      </c>
      <c r="H6" s="48">
        <f t="shared" si="1"/>
        <v>1500000</v>
      </c>
      <c r="I6" s="48">
        <f t="shared" si="2"/>
        <v>308398</v>
      </c>
      <c r="J6" s="110">
        <f t="shared" si="3"/>
        <v>5200776</v>
      </c>
      <c r="K6" s="109">
        <f t="shared" si="4"/>
        <v>15559298.955000002</v>
      </c>
    </row>
    <row r="7" spans="1:24" ht="30" x14ac:dyDescent="0.25">
      <c r="A7" s="65" t="s">
        <v>7</v>
      </c>
      <c r="B7" s="70">
        <v>10</v>
      </c>
      <c r="C7" s="70">
        <v>15</v>
      </c>
      <c r="D7" s="70">
        <v>5</v>
      </c>
      <c r="E7" s="46">
        <f>База!AC7</f>
        <v>79419206</v>
      </c>
      <c r="F7" s="46">
        <f t="shared" si="5"/>
        <v>6462597</v>
      </c>
      <c r="G7" s="106">
        <f t="shared" si="0"/>
        <v>840519.93016666663</v>
      </c>
      <c r="H7" s="46">
        <f t="shared" si="1"/>
        <v>3000000</v>
      </c>
      <c r="I7" s="46">
        <f t="shared" si="2"/>
        <v>231298.5</v>
      </c>
      <c r="J7" s="110">
        <f t="shared" si="3"/>
        <v>5775582</v>
      </c>
      <c r="K7" s="109">
        <f t="shared" si="4"/>
        <v>10086239.162</v>
      </c>
    </row>
    <row r="8" spans="1:24" x14ac:dyDescent="0.25">
      <c r="A8" s="64" t="s">
        <v>2</v>
      </c>
      <c r="B8" s="69">
        <v>6</v>
      </c>
      <c r="C8" s="69">
        <v>23</v>
      </c>
      <c r="D8" s="69">
        <v>3</v>
      </c>
      <c r="E8" s="48">
        <f>База!AC8</f>
        <v>63388546</v>
      </c>
      <c r="F8" s="48">
        <f t="shared" si="5"/>
        <v>4309315.4000000004</v>
      </c>
      <c r="G8" s="105">
        <f t="shared" si="0"/>
        <v>670862.11183333339</v>
      </c>
      <c r="H8" s="48">
        <f t="shared" si="1"/>
        <v>1800000</v>
      </c>
      <c r="I8" s="48">
        <f t="shared" si="2"/>
        <v>354657.7</v>
      </c>
      <c r="J8" s="110">
        <f t="shared" si="3"/>
        <v>6055892.4000000004</v>
      </c>
      <c r="K8" s="109">
        <f t="shared" si="4"/>
        <v>8050345.3420000002</v>
      </c>
    </row>
    <row r="9" spans="1:24" x14ac:dyDescent="0.25">
      <c r="A9" s="65" t="s">
        <v>6</v>
      </c>
      <c r="B9" s="70">
        <v>4</v>
      </c>
      <c r="C9" s="70">
        <v>4</v>
      </c>
      <c r="D9" s="70"/>
      <c r="E9" s="46">
        <f>База!AC9</f>
        <v>22382937</v>
      </c>
      <c r="F9" s="46">
        <f t="shared" si="5"/>
        <v>2523359.2000000002</v>
      </c>
      <c r="G9" s="106">
        <f t="shared" si="0"/>
        <v>236886.08325</v>
      </c>
      <c r="H9" s="46">
        <f t="shared" si="1"/>
        <v>1200000</v>
      </c>
      <c r="I9" s="46">
        <f t="shared" si="2"/>
        <v>61679.6</v>
      </c>
      <c r="J9" s="110">
        <f t="shared" si="3"/>
        <v>1940155.2</v>
      </c>
      <c r="K9" s="109">
        <f t="shared" si="4"/>
        <v>2842632.9989999998</v>
      </c>
    </row>
    <row r="10" spans="1:24" x14ac:dyDescent="0.25">
      <c r="A10" s="64" t="s">
        <v>8</v>
      </c>
      <c r="B10" s="69">
        <v>3</v>
      </c>
      <c r="C10" s="69">
        <v>7</v>
      </c>
      <c r="D10" s="69">
        <v>1</v>
      </c>
      <c r="E10" s="48">
        <f>База!AC10</f>
        <v>20541063</v>
      </c>
      <c r="F10" s="48">
        <f t="shared" si="5"/>
        <v>2015878.6</v>
      </c>
      <c r="G10" s="105">
        <f t="shared" si="0"/>
        <v>217392.91675</v>
      </c>
      <c r="H10" s="48">
        <f t="shared" si="1"/>
        <v>900000</v>
      </c>
      <c r="I10" s="48">
        <f t="shared" si="2"/>
        <v>107939.3</v>
      </c>
      <c r="J10" s="110">
        <f t="shared" si="3"/>
        <v>2195271.6</v>
      </c>
      <c r="K10" s="109">
        <f t="shared" si="4"/>
        <v>2608715.0010000002</v>
      </c>
    </row>
    <row r="11" spans="1:24" ht="15.75" thickBot="1" x14ac:dyDescent="0.3">
      <c r="A11" s="66" t="s">
        <v>3</v>
      </c>
      <c r="B11" s="71">
        <v>15</v>
      </c>
      <c r="C11" s="71">
        <v>20</v>
      </c>
      <c r="D11" s="71">
        <v>5</v>
      </c>
      <c r="E11" s="49">
        <f>База!AC11</f>
        <v>17932651</v>
      </c>
      <c r="F11" s="49">
        <f t="shared" si="5"/>
        <v>9616796</v>
      </c>
      <c r="G11" s="107">
        <f t="shared" si="0"/>
        <v>189787.22308333335</v>
      </c>
      <c r="H11" s="49">
        <f t="shared" si="1"/>
        <v>4500000</v>
      </c>
      <c r="I11" s="49">
        <f t="shared" si="2"/>
        <v>308398</v>
      </c>
      <c r="J11" s="110">
        <f t="shared" si="3"/>
        <v>8200776</v>
      </c>
      <c r="K11" s="109">
        <f t="shared" si="4"/>
        <v>2277446.6770000001</v>
      </c>
    </row>
    <row r="12" spans="1:24" x14ac:dyDescent="0.25">
      <c r="B12" s="103">
        <v>300000</v>
      </c>
      <c r="C12" s="103">
        <f>((26786+24000+52000)*0.15)+2</f>
        <v>15419.9</v>
      </c>
      <c r="D12" s="45"/>
      <c r="J12" s="45">
        <f>SUM(J3:J11)</f>
        <v>38054268</v>
      </c>
      <c r="K12" s="45">
        <f>SUM(K3:K11)</f>
        <v>61809952.072000004</v>
      </c>
    </row>
    <row r="13" spans="1:24" x14ac:dyDescent="0.25">
      <c r="C13" s="45">
        <f>C12*12</f>
        <v>185038.8</v>
      </c>
    </row>
    <row r="14" spans="1:24" x14ac:dyDescent="0.25">
      <c r="C14" s="45">
        <f>3855</f>
        <v>3855</v>
      </c>
      <c r="D14" s="45"/>
    </row>
    <row r="15" spans="1:24" ht="45" x14ac:dyDescent="0.25">
      <c r="B15" s="57" t="s">
        <v>51</v>
      </c>
      <c r="C15" s="57"/>
      <c r="D15" s="57"/>
      <c r="E15" s="59">
        <f>E3/1000</f>
        <v>18846.379000000001</v>
      </c>
      <c r="F15" s="57"/>
      <c r="G15" s="56" t="s">
        <v>50</v>
      </c>
      <c r="H15" s="56" t="s">
        <v>52</v>
      </c>
      <c r="I15" s="56" t="s">
        <v>58</v>
      </c>
      <c r="J15" s="56" t="s">
        <v>55</v>
      </c>
      <c r="K15" s="56" t="s">
        <v>53</v>
      </c>
      <c r="L15" s="56" t="s">
        <v>54</v>
      </c>
      <c r="R15" s="57" t="s">
        <v>97</v>
      </c>
      <c r="T15" s="56" t="s">
        <v>50</v>
      </c>
      <c r="U15" s="56" t="s">
        <v>52</v>
      </c>
      <c r="W15" s="57" t="s">
        <v>99</v>
      </c>
      <c r="X15" s="57" t="s">
        <v>98</v>
      </c>
    </row>
    <row r="16" spans="1:24" x14ac:dyDescent="0.25">
      <c r="A16" t="str">
        <f>IF(M16=0,"АВГУСТ","")</f>
        <v/>
      </c>
      <c r="B16" s="57">
        <v>1</v>
      </c>
      <c r="C16" s="57"/>
      <c r="D16" s="57"/>
      <c r="E16" s="59">
        <f>E15*127/48</f>
        <v>49864.377770833329</v>
      </c>
      <c r="F16" s="58"/>
      <c r="G16" s="59">
        <f>Q3+N3-O3</f>
        <v>1739321.5889166666</v>
      </c>
      <c r="H16" s="60">
        <f t="shared" ref="H16:H63" si="6">G16/$O$3</f>
        <v>8.720261169758496</v>
      </c>
      <c r="I16" s="74">
        <f>G16/$O$3*IF(SUM($R$3,0.01*$M$3)&gt;0.99,0.99,$R$3+0.01*$M$3)</f>
        <v>6.1041828188309468</v>
      </c>
      <c r="J16" s="57" t="str">
        <f ca="1">_xlfn.IFS(AND(K16&gt;0,K16&lt;34),"НЕУРОЖАЙ",AND(L16&gt;0,L16&lt;11),"РЕКОРД",NOT(M16=0),"",AND(K16&gt;33,L16&gt;10),"ОБЫЧНЫЙ")</f>
        <v/>
      </c>
      <c r="K16" s="57" t="str">
        <f ca="1">IF(M16=0,RANDBETWEEN(1,100),"")</f>
        <v/>
      </c>
      <c r="L16" t="str">
        <f ca="1">IF(AND(M16=0,K16&gt;33),RANDBETWEEN(1,100),"")</f>
        <v/>
      </c>
      <c r="M16" s="61">
        <f>MOD(B16,8)</f>
        <v>1</v>
      </c>
      <c r="R16" s="57">
        <v>1</v>
      </c>
      <c r="T16" s="59">
        <f>Q3/4+N3-O3/4</f>
        <v>1854219.9472291665</v>
      </c>
      <c r="U16" s="60">
        <f>T16/$O$3</f>
        <v>9.2963154767055798</v>
      </c>
      <c r="W16">
        <f>MOD(R16,4)</f>
        <v>1</v>
      </c>
      <c r="X16">
        <f>MOD(R16,32)</f>
        <v>1</v>
      </c>
    </row>
    <row r="17" spans="1:24" x14ac:dyDescent="0.25">
      <c r="A17" t="str">
        <f t="shared" ref="A17:A63" si="7">IF(M17=0,"АВГУСТ","")</f>
        <v/>
      </c>
      <c r="B17" s="57">
        <v>2</v>
      </c>
      <c r="C17" s="57"/>
      <c r="D17" s="57"/>
      <c r="E17" s="59"/>
      <c r="F17" s="58"/>
      <c r="G17" s="59" cm="1">
        <f t="array" ref="G17">IF(G16&gt;0,G16*(IF(SUM($R$3,0.01*$M$3)&gt;0.99,0.99,$R$3+0.01*$M$3)),G16)+(($Q$3+$Q$3*S3)+IF(M17=0,$P$3*_xlfn.IFS(J17="НЕУРОЖАЙ",0.25,J17="ОБЫЧНЫЙ",1,J17="РЕКОРД",1.25,J17="",1),0))-$O$3</f>
        <v>1054573.749953514</v>
      </c>
      <c r="H17" s="60">
        <f t="shared" si="6"/>
        <v>5.2872100139308023</v>
      </c>
      <c r="I17" s="74">
        <f t="shared" ref="I17:I63" si="8">G17/$O$3*IF(SUM($R$3,0.01*$M$3)&gt;0.99,0.99,$R$3+0.01*$M$3)</f>
        <v>3.7010470097515613</v>
      </c>
      <c r="J17" s="57" t="str">
        <f t="shared" ref="J17:J62" ca="1" si="9">_xlfn.IFS(AND(K17&gt;0,K17&lt;34),"НЕУРОЖАЙ",AND(L17&gt;0,L17&lt;11),"РЕКОРД",NOT(M17=0),"",AND(K17&gt;33,L17&gt;10),"ОБЫЧНЫЙ")</f>
        <v/>
      </c>
      <c r="K17" s="57" t="str">
        <f t="shared" ref="K17:K31" ca="1" si="10">IF(M17=0,RANDBETWEEN(1,100),"")</f>
        <v/>
      </c>
      <c r="L17" t="str">
        <f t="shared" ref="L17:L31" ca="1" si="11">IF(AND(M17=0,K17&gt;33),RANDBETWEEN(1,100),"")</f>
        <v/>
      </c>
      <c r="M17" s="61">
        <f t="shared" ref="M17:M63" si="12">MOD(B17,8)</f>
        <v>2</v>
      </c>
      <c r="R17" s="57">
        <v>2</v>
      </c>
      <c r="T17" s="59">
        <f>IF(AND(T16&gt;0,W17=0),T16*(IF(SUM($R$3,0.01*$M$3)&gt;0.99,0.99,$R$3+0.01*$M$3)),T16)+((($Q$3+$Q$3*$S$3)/4)+(IF(X17=0,$P$3*_xlfn.IFS(Y17="НЕУРОЖАЙ",0.25,Y17="ОБЫЧНЫЙ",1,Y17="РЕКОРД",1.25,Y17="",1),0)))-($O$3/4)</f>
        <v>1813482.1066571283</v>
      </c>
      <c r="U17" s="60">
        <f t="shared" ref="U17:U80" si="13">T17/$O$3</f>
        <v>9.0920722754805432</v>
      </c>
      <c r="W17">
        <f t="shared" ref="W17:W80" si="14">MOD(R17,4)</f>
        <v>2</v>
      </c>
      <c r="X17">
        <f t="shared" ref="X17:X80" si="15">MOD(R17,32)</f>
        <v>2</v>
      </c>
    </row>
    <row r="18" spans="1:24" x14ac:dyDescent="0.25">
      <c r="A18" t="str">
        <f t="shared" si="7"/>
        <v/>
      </c>
      <c r="B18" s="57">
        <v>3</v>
      </c>
      <c r="C18" s="57"/>
      <c r="D18" s="57"/>
      <c r="E18" s="58"/>
      <c r="F18" s="58"/>
      <c r="G18" s="59" cm="1">
        <f t="array" ref="G18">IF(G17&gt;0,G17*(IF(SUM($R$3,0.01*$M$3)&gt;0.99,0.99,$R$3+0.01*$M$3)),G17)+(($Q$3+$Q$3*S4)+IF(M18=0,$P$3*_xlfn.IFS(J18="НЕУРОЖАЙ",0.25,J18="ОБЫЧНЫЙ",1,J18="РЕКОРД",1.25,J18="",1),0))-$O$3</f>
        <v>585003.81388412626</v>
      </c>
      <c r="H18" s="60">
        <f t="shared" si="6"/>
        <v>2.9329746004887811</v>
      </c>
      <c r="I18" s="74">
        <f t="shared" si="8"/>
        <v>2.0530822203421466</v>
      </c>
      <c r="J18" s="57" t="str">
        <f t="shared" ca="1" si="9"/>
        <v/>
      </c>
      <c r="K18" s="57" t="str">
        <f t="shared" ca="1" si="10"/>
        <v/>
      </c>
      <c r="L18" t="str">
        <f t="shared" ca="1" si="11"/>
        <v/>
      </c>
      <c r="M18" s="61">
        <f t="shared" si="12"/>
        <v>3</v>
      </c>
      <c r="R18" s="57">
        <v>3</v>
      </c>
      <c r="T18" s="59">
        <f t="shared" ref="T18:T81" si="16">IF(AND(T17&gt;0,W18=0),T17*(IF(SUM($R$3,0.01*$M$3)&gt;0.99,0.99,$R$3+0.01*$M$3)),T17)+((($Q$3+$Q$3*$S$3)/4)+(IF(X18=0,$P$3*_xlfn.IFS(Y18="НЕУРОЖАЙ",0.25,Y18="ОБЫЧНЫЙ",1,Y18="РЕКОРД",1.25,Y18="",1),0)))-($O$3/4)</f>
        <v>1772744.2660850901</v>
      </c>
      <c r="U18" s="60">
        <f t="shared" si="13"/>
        <v>8.8878290742555066</v>
      </c>
      <c r="W18">
        <f t="shared" si="14"/>
        <v>3</v>
      </c>
      <c r="X18">
        <f t="shared" si="15"/>
        <v>3</v>
      </c>
    </row>
    <row r="19" spans="1:24" x14ac:dyDescent="0.25">
      <c r="A19" t="str">
        <f t="shared" si="7"/>
        <v/>
      </c>
      <c r="B19" s="57">
        <v>4</v>
      </c>
      <c r="C19" s="57"/>
      <c r="D19" s="57"/>
      <c r="E19" s="58"/>
      <c r="F19" s="58"/>
      <c r="G19" s="59" cm="1">
        <f t="array" ref="G19">IF(G18&gt;0,G18*(IF(SUM($R$3,0.01*$M$3)&gt;0.99,0.99,$R$3+0.01*$M$3)),G18)+(($Q$3+$Q$3*S5)+IF(M19=0,$P$3*_xlfn.IFS(J19="НЕУРОЖАЙ",0.25,J19="ОБЫЧНЫЙ",1,J19="РЕКОРД",1.25,J19="",1),0))-$O$3</f>
        <v>256304.85863555502</v>
      </c>
      <c r="H19" s="60">
        <f t="shared" si="6"/>
        <v>1.2850098110793675</v>
      </c>
      <c r="I19" s="74">
        <f t="shared" si="8"/>
        <v>0.89950686775555722</v>
      </c>
      <c r="J19" s="57" t="str">
        <f t="shared" ca="1" si="9"/>
        <v/>
      </c>
      <c r="K19" s="57" t="str">
        <f t="shared" ca="1" si="10"/>
        <v/>
      </c>
      <c r="L19" t="str">
        <f t="shared" ca="1" si="11"/>
        <v/>
      </c>
      <c r="M19" s="61">
        <f t="shared" si="12"/>
        <v>4</v>
      </c>
      <c r="R19" s="57">
        <v>4</v>
      </c>
      <c r="T19" s="59">
        <f t="shared" si="16"/>
        <v>1200183.1456875247</v>
      </c>
      <c r="U19" s="60">
        <f t="shared" si="13"/>
        <v>6.0172371507538172</v>
      </c>
      <c r="V19">
        <f>IF(W19=0,V15+1,"")</f>
        <v>1</v>
      </c>
      <c r="W19">
        <f t="shared" si="14"/>
        <v>0</v>
      </c>
      <c r="X19">
        <f t="shared" si="15"/>
        <v>4</v>
      </c>
    </row>
    <row r="20" spans="1:24" x14ac:dyDescent="0.25">
      <c r="A20" t="str">
        <f t="shared" si="7"/>
        <v/>
      </c>
      <c r="B20" s="57">
        <v>5</v>
      </c>
      <c r="C20" s="57"/>
      <c r="D20" s="57"/>
      <c r="E20" s="58"/>
      <c r="F20" s="58"/>
      <c r="G20" s="59" cm="1">
        <f t="array" ref="G20">IF(G19&gt;0,G19*(IF(SUM($R$3,0.01*$M$3)&gt;0.99,0.99,$R$3+0.01*$M$3)),G19)+(($Q$3+$Q$3*S6)+IF(M20=0,$P$3*_xlfn.IFS(J20="НЕУРОЖАЙ",0.25,J20="ОБЫЧНЫЙ",1,J20="РЕКОРД",1.25,J20="",1),0))-$O$3</f>
        <v>26215.589961555146</v>
      </c>
      <c r="H20" s="60">
        <f t="shared" si="6"/>
        <v>0.13143445849277779</v>
      </c>
      <c r="I20" s="74">
        <f t="shared" si="8"/>
        <v>9.2004120944944451E-2</v>
      </c>
      <c r="J20" s="57" t="str">
        <f t="shared" ca="1" si="9"/>
        <v/>
      </c>
      <c r="K20" s="57" t="str">
        <f t="shared" ca="1" si="10"/>
        <v/>
      </c>
      <c r="L20" t="str">
        <f t="shared" ca="1" si="11"/>
        <v/>
      </c>
      <c r="M20" s="61">
        <f t="shared" si="12"/>
        <v>5</v>
      </c>
      <c r="R20" s="57">
        <v>5</v>
      </c>
      <c r="T20" s="59">
        <f t="shared" si="16"/>
        <v>1159445.3051154865</v>
      </c>
      <c r="U20" s="60">
        <f t="shared" si="13"/>
        <v>5.8129939495287806</v>
      </c>
      <c r="V20" t="str">
        <f t="shared" ref="V20:V83" si="17">IF(W20=0,V16+1,"")</f>
        <v/>
      </c>
      <c r="W20">
        <f t="shared" si="14"/>
        <v>1</v>
      </c>
      <c r="X20">
        <f t="shared" si="15"/>
        <v>5</v>
      </c>
    </row>
    <row r="21" spans="1:24" x14ac:dyDescent="0.25">
      <c r="A21" t="str">
        <f t="shared" si="7"/>
        <v/>
      </c>
      <c r="B21" s="57">
        <v>6</v>
      </c>
      <c r="C21" s="57"/>
      <c r="D21" s="57"/>
      <c r="E21" s="58"/>
      <c r="F21" s="58"/>
      <c r="G21" s="59" cm="1">
        <f t="array" ref="G21">IF(G20&gt;0,G20*(IF(SUM($R$3,0.01*$M$3)&gt;0.99,0.99,$R$3+0.01*$M$3)),G20)+(($Q$3+$Q$3*S7)+IF(M21=0,$P$3*_xlfn.IFS(J21="НЕУРОЖАЙ",0.25,J21="ОБЫЧНЫЙ",1,J21="РЕКОРД",1.25,J21="",1),0))-$O$3</f>
        <v>-134846.89811024474</v>
      </c>
      <c r="H21" s="60">
        <f t="shared" si="6"/>
        <v>-0.67606828831783483</v>
      </c>
      <c r="I21" s="74">
        <f t="shared" si="8"/>
        <v>-0.47324780182248433</v>
      </c>
      <c r="J21" s="57" t="str">
        <f t="shared" ca="1" si="9"/>
        <v/>
      </c>
      <c r="K21" s="57" t="str">
        <f t="shared" ca="1" si="10"/>
        <v/>
      </c>
      <c r="L21" t="str">
        <f t="shared" ca="1" si="11"/>
        <v/>
      </c>
      <c r="M21" s="61">
        <f t="shared" si="12"/>
        <v>6</v>
      </c>
      <c r="R21" s="57">
        <v>6</v>
      </c>
      <c r="T21" s="59">
        <f t="shared" si="16"/>
        <v>1118707.4645434483</v>
      </c>
      <c r="U21" s="60">
        <f t="shared" si="13"/>
        <v>5.608750748303744</v>
      </c>
      <c r="V21" t="str">
        <f t="shared" si="17"/>
        <v/>
      </c>
      <c r="W21">
        <f t="shared" si="14"/>
        <v>2</v>
      </c>
      <c r="X21">
        <f t="shared" si="15"/>
        <v>6</v>
      </c>
    </row>
    <row r="22" spans="1:24" x14ac:dyDescent="0.25">
      <c r="A22" t="str">
        <f t="shared" si="7"/>
        <v/>
      </c>
      <c r="B22" s="57">
        <v>7</v>
      </c>
      <c r="C22" s="57"/>
      <c r="D22" s="57"/>
      <c r="E22" s="58"/>
      <c r="F22" s="58"/>
      <c r="G22" s="59" cm="1">
        <f t="array" ref="G22">IF(G21&gt;0,G21*(IF(SUM($R$3,0.01*$M$3)&gt;0.99,0.99,$R$3+0.01*$M$3)),G21)+(($Q$3+$Q$3*S8)+IF(M22=0,$P$3*_xlfn.IFS(J22="НЕУРОЖАЙ",0.25,J22="ОБЫЧНЫЙ",1,J22="РЕКОРД",1.25,J22="",1),0))-$O$3</f>
        <v>-288044.70919357811</v>
      </c>
      <c r="H22" s="60">
        <f t="shared" si="6"/>
        <v>-1.4441406975806141</v>
      </c>
      <c r="I22" s="74">
        <f t="shared" si="8"/>
        <v>-1.0108984883064298</v>
      </c>
      <c r="J22" s="57" t="str">
        <f t="shared" ca="1" si="9"/>
        <v/>
      </c>
      <c r="K22" s="57" t="str">
        <f t="shared" ca="1" si="10"/>
        <v/>
      </c>
      <c r="L22" t="str">
        <f t="shared" ca="1" si="11"/>
        <v/>
      </c>
      <c r="M22" s="61">
        <f t="shared" si="12"/>
        <v>7</v>
      </c>
      <c r="R22" s="57">
        <v>7</v>
      </c>
      <c r="T22" s="59">
        <f t="shared" si="16"/>
        <v>1077969.6239714101</v>
      </c>
      <c r="U22" s="60">
        <f t="shared" si="13"/>
        <v>5.4045075470787083</v>
      </c>
      <c r="V22" t="str">
        <f t="shared" si="17"/>
        <v/>
      </c>
      <c r="W22">
        <f t="shared" si="14"/>
        <v>3</v>
      </c>
      <c r="X22">
        <f t="shared" si="15"/>
        <v>7</v>
      </c>
    </row>
    <row r="23" spans="1:24" x14ac:dyDescent="0.25">
      <c r="A23" t="str">
        <f t="shared" si="7"/>
        <v>АВГУСТ</v>
      </c>
      <c r="B23" s="57">
        <v>8</v>
      </c>
      <c r="C23" s="57"/>
      <c r="D23" s="57"/>
      <c r="E23" s="58"/>
      <c r="F23" s="58"/>
      <c r="G23" s="59" cm="1">
        <f t="array" aca="1" ref="G23" ca="1">IF(G22&gt;0,G22*(IF(SUM($R$3,0.01*$M$3)&gt;0.99,0.99,$R$3+0.01*$M$3)),G22)+(($Q$3+$Q$3*S9)+IF(M23=0,$P$3*_xlfn.IFS(J23="НЕУРОЖАЙ",0.25,J23="ОБЫЧНЫЙ",1,J23="РЕКОРД",1.25,J23="",1),0))-$O$3</f>
        <v>458757.4797230885</v>
      </c>
      <c r="H23" s="60">
        <f t="shared" ca="1" si="6"/>
        <v>2.3000260919300235</v>
      </c>
      <c r="I23" s="74">
        <f t="shared" ca="1" si="8"/>
        <v>1.6100182643510164</v>
      </c>
      <c r="J23" s="57" t="str">
        <f t="shared" ca="1" si="9"/>
        <v>ОБЫЧНЫЙ</v>
      </c>
      <c r="K23" s="57">
        <f t="shared" ca="1" si="10"/>
        <v>88</v>
      </c>
      <c r="L23">
        <f t="shared" ca="1" si="11"/>
        <v>76</v>
      </c>
      <c r="M23" s="61">
        <f t="shared" si="12"/>
        <v>0</v>
      </c>
      <c r="N23">
        <v>34</v>
      </c>
      <c r="R23" s="57">
        <v>8</v>
      </c>
      <c r="T23" s="59">
        <f t="shared" si="16"/>
        <v>713840.8962079488</v>
      </c>
      <c r="U23" s="60">
        <f t="shared" si="13"/>
        <v>3.5789120817300586</v>
      </c>
      <c r="V23">
        <f t="shared" si="17"/>
        <v>2</v>
      </c>
      <c r="W23">
        <f t="shared" si="14"/>
        <v>0</v>
      </c>
      <c r="X23">
        <f t="shared" si="15"/>
        <v>8</v>
      </c>
    </row>
    <row r="24" spans="1:24" x14ac:dyDescent="0.25">
      <c r="A24" t="str">
        <f t="shared" si="7"/>
        <v/>
      </c>
      <c r="B24" s="57">
        <v>9</v>
      </c>
      <c r="C24" s="57"/>
      <c r="D24" s="57"/>
      <c r="E24" s="58"/>
      <c r="F24" s="58"/>
      <c r="G24" s="59" cm="1">
        <f t="array" aca="1" ref="G24" ca="1">IF(G23&gt;0,G23*(IF(SUM($R$3,0.01*$M$3)&gt;0.99,0.99,$R$3+0.01*$M$3)),G23)+(($Q$3+$Q$3*S10)+IF(M24=0,$P$3*_xlfn.IFS(J24="НЕУРОЖАЙ",0.25,J24="ОБЫЧНЫЙ",1,J24="РЕКОРД",1.25,J24="",1),0))-$O$3</f>
        <v>167932.42472282861</v>
      </c>
      <c r="H24" s="60">
        <f t="shared" ca="1" si="6"/>
        <v>0.84194585508823705</v>
      </c>
      <c r="I24" s="74">
        <f t="shared" ca="1" si="8"/>
        <v>0.58936209856176591</v>
      </c>
      <c r="J24" s="57" t="str">
        <f t="shared" ca="1" si="9"/>
        <v/>
      </c>
      <c r="K24" s="57" t="str">
        <f t="shared" ca="1" si="10"/>
        <v/>
      </c>
      <c r="L24" t="str">
        <f t="shared" ca="1" si="11"/>
        <v/>
      </c>
      <c r="M24" s="61">
        <f t="shared" si="12"/>
        <v>1</v>
      </c>
      <c r="N24" t="str">
        <f>IF(M24=0,IF(J16="НЕУРОЖАЙ",1,N16+33),"")</f>
        <v/>
      </c>
      <c r="R24" s="57">
        <v>9</v>
      </c>
      <c r="T24" s="59">
        <f t="shared" si="16"/>
        <v>673103.0556359106</v>
      </c>
      <c r="U24" s="60">
        <f t="shared" si="13"/>
        <v>3.374668880505022</v>
      </c>
      <c r="V24" t="str">
        <f t="shared" si="17"/>
        <v/>
      </c>
      <c r="W24">
        <f t="shared" si="14"/>
        <v>1</v>
      </c>
      <c r="X24">
        <f t="shared" si="15"/>
        <v>9</v>
      </c>
    </row>
    <row r="25" spans="1:24" x14ac:dyDescent="0.25">
      <c r="A25" t="str">
        <f t="shared" si="7"/>
        <v/>
      </c>
      <c r="B25" s="57">
        <v>10</v>
      </c>
      <c r="C25" s="57"/>
      <c r="D25" s="57"/>
      <c r="E25" s="58"/>
      <c r="F25" s="58"/>
      <c r="G25" s="59" cm="1">
        <f t="array" aca="1" ref="G25" ca="1">IF(G24&gt;0,G24*(IF(SUM($R$3,0.01*$M$3)&gt;0.99,0.99,$R$3+0.01*$M$3)),G24)+(($Q$3+$Q$3*S11)+IF(M25=0,$P$3*_xlfn.IFS(J25="НЕУРОЖАЙ",0.25,J25="ОБЫЧНЫЙ",1,J25="РЕКОРД",1.25,J25="",1),0))-$O$3</f>
        <v>-35645.113777353312</v>
      </c>
      <c r="H25" s="60">
        <f t="shared" ca="1" si="6"/>
        <v>-0.17871031070101334</v>
      </c>
      <c r="I25" s="74">
        <f t="shared" ca="1" si="8"/>
        <v>-0.12509721749070934</v>
      </c>
      <c r="J25" s="57" t="str">
        <f t="shared" ca="1" si="9"/>
        <v/>
      </c>
      <c r="K25" s="57" t="str">
        <f t="shared" ca="1" si="10"/>
        <v/>
      </c>
      <c r="L25" t="str">
        <f t="shared" ca="1" si="11"/>
        <v/>
      </c>
      <c r="M25" s="61">
        <f t="shared" si="12"/>
        <v>2</v>
      </c>
      <c r="N25" t="str">
        <f t="shared" ref="N25:N62" si="18">IF(M25=0,IF(J17="НЕУРОЖАЙ",1,N17+33),"")</f>
        <v/>
      </c>
      <c r="R25" s="57">
        <v>10</v>
      </c>
      <c r="T25" s="59">
        <f t="shared" si="16"/>
        <v>632365.2150638724</v>
      </c>
      <c r="U25" s="60">
        <f t="shared" si="13"/>
        <v>3.1704256792799859</v>
      </c>
      <c r="V25" t="str">
        <f t="shared" si="17"/>
        <v/>
      </c>
      <c r="W25">
        <f t="shared" si="14"/>
        <v>2</v>
      </c>
      <c r="X25">
        <f t="shared" si="15"/>
        <v>10</v>
      </c>
    </row>
    <row r="26" spans="1:24" x14ac:dyDescent="0.25">
      <c r="A26" t="str">
        <f t="shared" si="7"/>
        <v/>
      </c>
      <c r="B26" s="57">
        <v>11</v>
      </c>
      <c r="C26" s="57"/>
      <c r="D26" s="57"/>
      <c r="E26" s="58"/>
      <c r="F26" s="58"/>
      <c r="G26" s="59" cm="1">
        <f t="array" aca="1" ref="G26" ca="1">IF(G25&gt;0,G25*(IF(SUM($R$3,0.01*$M$3)&gt;0.99,0.99,$R$3+0.01*$M$3)),G25)+(($Q$3+$Q$3*S12)+IF(M26=0,$P$3*_xlfn.IFS(J26="НЕУРОЖАЙ",0.25,J26="ОБЫЧНЫЙ",1,J26="РЕКОРД",1.25,J26="",1),0))-$O$3</f>
        <v>-188842.92486068665</v>
      </c>
      <c r="H26" s="60">
        <f t="shared" ca="1" si="6"/>
        <v>-0.9467827199637926</v>
      </c>
      <c r="I26" s="74">
        <f t="shared" ca="1" si="8"/>
        <v>-0.66274790397465477</v>
      </c>
      <c r="J26" s="57" t="str">
        <f t="shared" ca="1" si="9"/>
        <v/>
      </c>
      <c r="K26" s="57" t="str">
        <f t="shared" ca="1" si="10"/>
        <v/>
      </c>
      <c r="L26" t="str">
        <f t="shared" ca="1" si="11"/>
        <v/>
      </c>
      <c r="M26" s="61">
        <f t="shared" si="12"/>
        <v>3</v>
      </c>
      <c r="N26" t="str">
        <f t="shared" si="18"/>
        <v/>
      </c>
      <c r="R26" s="57">
        <v>11</v>
      </c>
      <c r="T26" s="59">
        <f t="shared" si="16"/>
        <v>591627.3744918342</v>
      </c>
      <c r="U26" s="60">
        <f t="shared" si="13"/>
        <v>2.9661824780549493</v>
      </c>
      <c r="V26" t="str">
        <f t="shared" si="17"/>
        <v/>
      </c>
      <c r="W26">
        <f t="shared" si="14"/>
        <v>3</v>
      </c>
      <c r="X26">
        <f t="shared" si="15"/>
        <v>11</v>
      </c>
    </row>
    <row r="27" spans="1:24" x14ac:dyDescent="0.25">
      <c r="A27" t="str">
        <f t="shared" si="7"/>
        <v/>
      </c>
      <c r="B27" s="57">
        <v>12</v>
      </c>
      <c r="C27" s="57"/>
      <c r="D27" s="57"/>
      <c r="E27" s="58"/>
      <c r="F27" s="58"/>
      <c r="G27" s="59" cm="1">
        <f t="array" aca="1" ref="G27" ca="1">IF(G26&gt;0,G26*(IF(SUM($R$3,0.01*$M$3)&gt;0.99,0.99,$R$3+0.01*$M$3)),G26)+(($Q$3+$Q$3*S13)+IF(M27=0,$P$3*_xlfn.IFS(J27="НЕУРОЖАЙ",0.25,J27="ОБЫЧНЫЙ",1,J27="РЕКОРД",1.25,J27="",1),0))-$O$3</f>
        <v>-342040.73594401998</v>
      </c>
      <c r="H27" s="60">
        <f t="shared" ca="1" si="6"/>
        <v>-1.7148551292265717</v>
      </c>
      <c r="I27" s="74">
        <f t="shared" ca="1" si="8"/>
        <v>-1.2003985904586001</v>
      </c>
      <c r="J27" s="57" t="str">
        <f t="shared" ca="1" si="9"/>
        <v/>
      </c>
      <c r="K27" s="57" t="str">
        <f t="shared" ca="1" si="10"/>
        <v/>
      </c>
      <c r="L27" t="str">
        <f t="shared" ca="1" si="11"/>
        <v/>
      </c>
      <c r="M27" s="61">
        <f t="shared" si="12"/>
        <v>4</v>
      </c>
      <c r="N27" t="str">
        <f t="shared" si="18"/>
        <v/>
      </c>
      <c r="R27" s="57">
        <v>12</v>
      </c>
      <c r="T27" s="59">
        <f t="shared" si="16"/>
        <v>373401.3215722458</v>
      </c>
      <c r="U27" s="60">
        <f t="shared" si="13"/>
        <v>1.8720845334134282</v>
      </c>
      <c r="V27">
        <f t="shared" si="17"/>
        <v>3</v>
      </c>
      <c r="W27">
        <f t="shared" si="14"/>
        <v>0</v>
      </c>
      <c r="X27">
        <f t="shared" si="15"/>
        <v>12</v>
      </c>
    </row>
    <row r="28" spans="1:24" x14ac:dyDescent="0.25">
      <c r="A28" t="str">
        <f t="shared" si="7"/>
        <v/>
      </c>
      <c r="B28" s="57">
        <v>13</v>
      </c>
      <c r="C28" s="57"/>
      <c r="D28" s="57"/>
      <c r="E28" s="58"/>
      <c r="F28" s="58"/>
      <c r="G28" s="59" cm="1">
        <f t="array" aca="1" ref="G28" ca="1">IF(G27&gt;0,G27*(IF(SUM($R$3,0.01*$M$3)&gt;0.99,0.99,$R$3+0.01*$M$3)),G27)+(($Q$3+$Q$3*S14)+IF(M28=0,$P$3*_xlfn.IFS(J28="НЕУРОЖАЙ",0.25,J28="ОБЫЧНЫЙ",1,J28="РЕКОРД",1.25,J28="",1),0))-$O$3</f>
        <v>-495238.54702735331</v>
      </c>
      <c r="H28" s="60">
        <f t="shared" ca="1" si="6"/>
        <v>-2.482927538489351</v>
      </c>
      <c r="I28" s="74">
        <f t="shared" ca="1" si="8"/>
        <v>-1.7380492769425455</v>
      </c>
      <c r="J28" s="57" t="str">
        <f t="shared" ca="1" si="9"/>
        <v/>
      </c>
      <c r="K28" s="57" t="str">
        <f t="shared" ca="1" si="10"/>
        <v/>
      </c>
      <c r="L28" t="str">
        <f t="shared" ca="1" si="11"/>
        <v/>
      </c>
      <c r="M28" s="61">
        <f t="shared" si="12"/>
        <v>5</v>
      </c>
      <c r="N28" t="str">
        <f t="shared" si="18"/>
        <v/>
      </c>
      <c r="R28" s="57">
        <v>13</v>
      </c>
      <c r="T28" s="59">
        <f t="shared" si="16"/>
        <v>332663.48100020766</v>
      </c>
      <c r="U28" s="60">
        <f t="shared" si="13"/>
        <v>1.667841332188392</v>
      </c>
      <c r="V28" t="str">
        <f t="shared" si="17"/>
        <v/>
      </c>
      <c r="W28">
        <f t="shared" si="14"/>
        <v>1</v>
      </c>
      <c r="X28">
        <f t="shared" si="15"/>
        <v>13</v>
      </c>
    </row>
    <row r="29" spans="1:24" x14ac:dyDescent="0.25">
      <c r="A29" t="str">
        <f t="shared" si="7"/>
        <v/>
      </c>
      <c r="B29" s="57">
        <v>14</v>
      </c>
      <c r="C29" s="57"/>
      <c r="D29" s="57"/>
      <c r="E29" s="58"/>
      <c r="F29" s="58"/>
      <c r="G29" s="59" cm="1">
        <f t="array" aca="1" ref="G29" ca="1">IF(G28&gt;0,G28*(IF(SUM($R$3,0.01*$M$3)&gt;0.99,0.99,$R$3+0.01*$M$3)),G28)+(($Q$3+$Q$3*S15)+IF(M29=0,$P$3*_xlfn.IFS(J29="НЕУРОЖАЙ",0.25,J29="ОБЫЧНЫЙ",1,J29="РЕКОРД",1.25,J29="",1),0))-$O$3</f>
        <v>-648436.35811068665</v>
      </c>
      <c r="H29" s="60">
        <f t="shared" ca="1" si="6"/>
        <v>-3.2509999477521303</v>
      </c>
      <c r="I29" s="74">
        <f t="shared" ca="1" si="8"/>
        <v>-2.2756999634264909</v>
      </c>
      <c r="J29" s="57" t="str">
        <f t="shared" ca="1" si="9"/>
        <v/>
      </c>
      <c r="K29" s="57" t="str">
        <f t="shared" ca="1" si="10"/>
        <v/>
      </c>
      <c r="L29" t="str">
        <f t="shared" ca="1" si="11"/>
        <v/>
      </c>
      <c r="M29" s="61">
        <f t="shared" si="12"/>
        <v>6</v>
      </c>
      <c r="N29" t="str">
        <f t="shared" si="18"/>
        <v/>
      </c>
      <c r="R29" s="57">
        <v>14</v>
      </c>
      <c r="T29" s="59">
        <f t="shared" si="16"/>
        <v>291925.64042816951</v>
      </c>
      <c r="U29" s="60">
        <f t="shared" si="13"/>
        <v>1.4635981309633559</v>
      </c>
      <c r="V29" t="str">
        <f t="shared" si="17"/>
        <v/>
      </c>
      <c r="W29">
        <f t="shared" si="14"/>
        <v>2</v>
      </c>
      <c r="X29">
        <f t="shared" si="15"/>
        <v>14</v>
      </c>
    </row>
    <row r="30" spans="1:24" x14ac:dyDescent="0.25">
      <c r="A30" t="str">
        <f t="shared" si="7"/>
        <v/>
      </c>
      <c r="B30" s="57">
        <v>15</v>
      </c>
      <c r="C30" s="57"/>
      <c r="D30" s="57"/>
      <c r="E30" s="58"/>
      <c r="F30" s="58"/>
      <c r="G30" s="59" cm="1">
        <f t="array" aca="1" ref="G30" ca="1">IF(G29&gt;0,G29*(IF(SUM($R$3,0.01*$M$3)&gt;0.99,0.99,$R$3+0.01*$M$3)),G29)+(($Q$3+$Q$3*S16)+IF(M30=0,$P$3*_xlfn.IFS(J30="НЕУРОЖАЙ",0.25,J30="ОБЫЧНЫЙ",1,J30="РЕКОРД",1.25,J30="",1),0))-$O$3</f>
        <v>-801634.1691940201</v>
      </c>
      <c r="H30" s="60">
        <f t="shared" ca="1" si="6"/>
        <v>-4.0190723570149105</v>
      </c>
      <c r="I30" s="74">
        <f t="shared" ca="1" si="8"/>
        <v>-2.8133506499104373</v>
      </c>
      <c r="J30" s="57" t="str">
        <f t="shared" ca="1" si="9"/>
        <v/>
      </c>
      <c r="K30" s="57" t="str">
        <f t="shared" ca="1" si="10"/>
        <v/>
      </c>
      <c r="L30" t="str">
        <f t="shared" ca="1" si="11"/>
        <v/>
      </c>
      <c r="M30" s="61">
        <f t="shared" si="12"/>
        <v>7</v>
      </c>
      <c r="N30" t="str">
        <f t="shared" si="18"/>
        <v/>
      </c>
      <c r="R30" s="57">
        <v>15</v>
      </c>
      <c r="T30" s="59">
        <f t="shared" si="16"/>
        <v>251187.79985613137</v>
      </c>
      <c r="U30" s="60">
        <f t="shared" si="13"/>
        <v>1.2593549297383195</v>
      </c>
      <c r="V30" t="str">
        <f t="shared" si="17"/>
        <v/>
      </c>
      <c r="W30">
        <f t="shared" si="14"/>
        <v>3</v>
      </c>
      <c r="X30">
        <f t="shared" si="15"/>
        <v>15</v>
      </c>
    </row>
    <row r="31" spans="1:24" x14ac:dyDescent="0.25">
      <c r="A31" t="str">
        <f t="shared" si="7"/>
        <v>АВГУСТ</v>
      </c>
      <c r="B31" s="57">
        <v>16</v>
      </c>
      <c r="C31" s="57"/>
      <c r="D31" s="57"/>
      <c r="E31" s="58"/>
      <c r="F31" s="58"/>
      <c r="G31" s="59" cm="1">
        <f t="array" aca="1" ref="G31" ca="1">IF(G30&gt;0,G30*(IF(SUM($R$3,0.01*$M$3)&gt;0.99,0.99,$R$3+0.01*$M$3)),G30)+(($Q$3+$Q$3*S17)+IF(M31=0,$P$3*_xlfn.IFS(J31="НЕУРОЖАЙ",0.25,J31="ОБЫЧНЫЙ",1,J31="РЕКОРД",1.25,J31="",1),0))-$O$3</f>
        <v>-54831.98027735349</v>
      </c>
      <c r="H31" s="60">
        <f t="shared" ca="1" si="6"/>
        <v>-0.27490556750427259</v>
      </c>
      <c r="I31" s="74">
        <f t="shared" ca="1" si="8"/>
        <v>-0.19243389725299079</v>
      </c>
      <c r="J31" s="57" t="str">
        <f t="shared" ca="1" si="9"/>
        <v>ОБЫЧНЫЙ</v>
      </c>
      <c r="K31" s="57">
        <f t="shared" ca="1" si="10"/>
        <v>99</v>
      </c>
      <c r="L31">
        <f t="shared" ca="1" si="11"/>
        <v>57</v>
      </c>
      <c r="M31" s="61">
        <f t="shared" si="12"/>
        <v>0</v>
      </c>
      <c r="N31">
        <f t="shared" ca="1" si="18"/>
        <v>67</v>
      </c>
      <c r="R31" s="57">
        <v>16</v>
      </c>
      <c r="T31" s="59">
        <f t="shared" si="16"/>
        <v>135093.61932725378</v>
      </c>
      <c r="U31" s="60">
        <f t="shared" si="13"/>
        <v>0.67730524959178728</v>
      </c>
      <c r="V31">
        <f t="shared" si="17"/>
        <v>4</v>
      </c>
      <c r="W31">
        <f t="shared" si="14"/>
        <v>0</v>
      </c>
      <c r="X31">
        <f t="shared" si="15"/>
        <v>16</v>
      </c>
    </row>
    <row r="32" spans="1:24" x14ac:dyDescent="0.25">
      <c r="A32" t="str">
        <f t="shared" si="7"/>
        <v/>
      </c>
      <c r="B32" s="57">
        <v>17</v>
      </c>
      <c r="C32" s="57"/>
      <c r="D32" s="57"/>
      <c r="E32" s="58"/>
      <c r="F32" s="58"/>
      <c r="G32" s="59" cm="1">
        <f t="array" aca="1" ref="G32" ca="1">IF(G31&gt;0,G31*(IF(SUM($R$3,0.01*$M$3)&gt;0.99,0.99,$R$3+0.01*$M$3)),G31)+(($Q$3+$Q$3*S18)+IF(M32=0,$P$3*_xlfn.IFS(J32="НЕУРОЖАЙ",0.25,J32="ОБЫЧНЫЙ",1,J32="РЕКОРД",1.25,J32="",1),0))-$O$3</f>
        <v>-208029.79136068682</v>
      </c>
      <c r="H32" s="60">
        <f t="shared" ca="1" si="6"/>
        <v>-1.0429779767670517</v>
      </c>
      <c r="I32" s="74">
        <f t="shared" ca="1" si="8"/>
        <v>-0.73008458373693619</v>
      </c>
      <c r="J32" s="57" t="str">
        <f t="shared" ca="1" si="9"/>
        <v/>
      </c>
      <c r="K32" s="57" t="str">
        <f t="shared" ref="K32:K63" ca="1" si="19">IF(M32=0,RANDBETWEEN(1,100),"")</f>
        <v/>
      </c>
      <c r="L32" t="str">
        <f t="shared" ref="L32:L63" ca="1" si="20">IF(AND(M32=0,K32&gt;33),RANDBETWEEN(1,100),"")</f>
        <v/>
      </c>
      <c r="M32" s="61">
        <f t="shared" si="12"/>
        <v>1</v>
      </c>
      <c r="N32" t="str">
        <f t="shared" si="18"/>
        <v/>
      </c>
      <c r="R32" s="57">
        <v>17</v>
      </c>
      <c r="T32" s="59">
        <f t="shared" si="16"/>
        <v>94355.778755215622</v>
      </c>
      <c r="U32" s="60">
        <f t="shared" si="13"/>
        <v>0.47306204836675103</v>
      </c>
      <c r="V32" t="str">
        <f t="shared" si="17"/>
        <v/>
      </c>
      <c r="W32">
        <f t="shared" si="14"/>
        <v>1</v>
      </c>
      <c r="X32">
        <f t="shared" si="15"/>
        <v>17</v>
      </c>
    </row>
    <row r="33" spans="1:27" x14ac:dyDescent="0.25">
      <c r="A33" t="str">
        <f t="shared" si="7"/>
        <v/>
      </c>
      <c r="B33" s="57">
        <v>18</v>
      </c>
      <c r="C33" s="57"/>
      <c r="D33" s="57"/>
      <c r="E33" s="58"/>
      <c r="F33" s="58"/>
      <c r="G33" s="59" cm="1">
        <f t="array" aca="1" ref="G33" ca="1">IF(G32&gt;0,G32*(IF(SUM($R$3,0.01*$M$3)&gt;0.99,0.99,$R$3+0.01*$M$3)),G32)+(($Q$3+$Q$3*S19)+IF(M33=0,$P$3*_xlfn.IFS(J33="НЕУРОЖАЙ",0.25,J33="ОБЫЧНЫЙ",1,J33="РЕКОРД",1.25,J33="",1),0))-$O$3</f>
        <v>-361227.60244402016</v>
      </c>
      <c r="H33" s="60">
        <f t="shared" ca="1" si="6"/>
        <v>-1.811050386029831</v>
      </c>
      <c r="I33" s="74">
        <f t="shared" ca="1" si="8"/>
        <v>-1.2677352702208817</v>
      </c>
      <c r="J33" s="57" t="str">
        <f t="shared" ca="1" si="9"/>
        <v/>
      </c>
      <c r="K33" s="57" t="str">
        <f t="shared" ca="1" si="19"/>
        <v/>
      </c>
      <c r="L33" t="str">
        <f t="shared" ca="1" si="20"/>
        <v/>
      </c>
      <c r="M33" s="61">
        <f t="shared" si="12"/>
        <v>2</v>
      </c>
      <c r="N33" t="str">
        <f t="shared" si="18"/>
        <v/>
      </c>
      <c r="R33" s="57">
        <v>18</v>
      </c>
      <c r="T33" s="59">
        <f t="shared" si="16"/>
        <v>53617.938183177466</v>
      </c>
      <c r="U33" s="60">
        <f t="shared" si="13"/>
        <v>0.26881884714171478</v>
      </c>
      <c r="V33" t="str">
        <f t="shared" si="17"/>
        <v/>
      </c>
      <c r="W33">
        <f t="shared" si="14"/>
        <v>2</v>
      </c>
      <c r="X33">
        <f t="shared" si="15"/>
        <v>18</v>
      </c>
    </row>
    <row r="34" spans="1:27" x14ac:dyDescent="0.25">
      <c r="A34" t="str">
        <f t="shared" si="7"/>
        <v/>
      </c>
      <c r="B34" s="57">
        <v>19</v>
      </c>
      <c r="C34" s="57"/>
      <c r="D34" s="57"/>
      <c r="E34" s="58"/>
      <c r="F34" s="58"/>
      <c r="G34" s="59" cm="1">
        <f t="array" aca="1" ref="G34" ca="1">IF(G33&gt;0,G33*(IF(SUM($R$3,0.01*$M$3)&gt;0.99,0.99,$R$3+0.01*$M$3)),G33)+(($Q$3+$Q$3*S20)+IF(M34=0,$P$3*_xlfn.IFS(J34="НЕУРОЖАЙ",0.25,J34="ОБЫЧНЫЙ",1,J34="РЕКОРД",1.25,J34="",1),0))-$O$3</f>
        <v>-514425.41352735349</v>
      </c>
      <c r="H34" s="60">
        <f t="shared" ca="1" si="6"/>
        <v>-2.5791227952926103</v>
      </c>
      <c r="I34" s="74">
        <f t="shared" ca="1" si="8"/>
        <v>-1.8053859567048272</v>
      </c>
      <c r="J34" s="57" t="str">
        <f t="shared" ca="1" si="9"/>
        <v/>
      </c>
      <c r="K34" s="57" t="str">
        <f t="shared" ca="1" si="19"/>
        <v/>
      </c>
      <c r="L34" t="str">
        <f t="shared" ca="1" si="20"/>
        <v/>
      </c>
      <c r="M34" s="61">
        <f t="shared" si="12"/>
        <v>3</v>
      </c>
      <c r="N34" t="str">
        <f t="shared" si="18"/>
        <v/>
      </c>
      <c r="R34" s="57">
        <v>19</v>
      </c>
      <c r="T34" s="59">
        <f t="shared" si="16"/>
        <v>12880.09761113931</v>
      </c>
      <c r="U34" s="60">
        <f t="shared" si="13"/>
        <v>6.4575645916678498E-2</v>
      </c>
      <c r="V34" t="str">
        <f t="shared" si="17"/>
        <v/>
      </c>
      <c r="W34">
        <f t="shared" si="14"/>
        <v>3</v>
      </c>
      <c r="X34">
        <f t="shared" si="15"/>
        <v>19</v>
      </c>
    </row>
    <row r="35" spans="1:27" x14ac:dyDescent="0.25">
      <c r="A35" t="str">
        <f t="shared" si="7"/>
        <v/>
      </c>
      <c r="B35" s="57">
        <v>20</v>
      </c>
      <c r="C35" s="57"/>
      <c r="D35" s="57"/>
      <c r="E35" s="58"/>
      <c r="F35" s="58"/>
      <c r="G35" s="59" cm="1">
        <f t="array" aca="1" ref="G35" ca="1">IF(G34&gt;0,G34*(IF(SUM($R$3,0.01*$M$3)&gt;0.99,0.99,$R$3+0.01*$M$3)),G34)+(($Q$3+$Q$3*S21)+IF(M35=0,$P$3*_xlfn.IFS(J35="НЕУРОЖАЙ",0.25,J35="ОБЫЧНЫЙ",1,J35="РЕКОРД",1.25,J35="",1),0))-$O$3</f>
        <v>-667623.22461068677</v>
      </c>
      <c r="H35" s="60">
        <f t="shared" ca="1" si="6"/>
        <v>-3.3471952045553892</v>
      </c>
      <c r="I35" s="74">
        <f t="shared" ca="1" si="8"/>
        <v>-2.3430366431887721</v>
      </c>
      <c r="J35" s="57" t="str">
        <f t="shared" ca="1" si="9"/>
        <v/>
      </c>
      <c r="K35" s="57" t="str">
        <f t="shared" ca="1" si="19"/>
        <v/>
      </c>
      <c r="L35" t="str">
        <f t="shared" ca="1" si="20"/>
        <v/>
      </c>
      <c r="M35" s="61">
        <f t="shared" si="12"/>
        <v>4</v>
      </c>
      <c r="N35" t="str">
        <f t="shared" si="18"/>
        <v/>
      </c>
      <c r="R35" s="57">
        <v>20</v>
      </c>
      <c r="T35" s="59">
        <f t="shared" si="16"/>
        <v>-31721.772244240638</v>
      </c>
      <c r="U35" s="60">
        <f t="shared" si="13"/>
        <v>-0.15904024908336131</v>
      </c>
      <c r="V35">
        <f t="shared" si="17"/>
        <v>5</v>
      </c>
      <c r="W35">
        <f t="shared" si="14"/>
        <v>0</v>
      </c>
      <c r="X35">
        <f t="shared" si="15"/>
        <v>20</v>
      </c>
    </row>
    <row r="36" spans="1:27" x14ac:dyDescent="0.25">
      <c r="A36" t="str">
        <f t="shared" si="7"/>
        <v/>
      </c>
      <c r="B36" s="57">
        <v>21</v>
      </c>
      <c r="C36" s="57"/>
      <c r="D36" s="57"/>
      <c r="E36" s="58"/>
      <c r="F36" s="58"/>
      <c r="G36" s="59" cm="1">
        <f t="array" aca="1" ref="G36" ca="1">IF(G35&gt;0,G35*(IF(SUM($R$3,0.01*$M$3)&gt;0.99,0.99,$R$3+0.01*$M$3)),G35)+(($Q$3+$Q$3*S22)+IF(M36=0,$P$3*_xlfn.IFS(J36="НЕУРОЖАЙ",0.25,J36="ОБЫЧНЫЙ",1,J36="РЕКОРД",1.25,J36="",1),0))-$O$3</f>
        <v>-820821.0356940201</v>
      </c>
      <c r="H36" s="60">
        <f t="shared" ca="1" si="6"/>
        <v>-4.1152676138181681</v>
      </c>
      <c r="I36" s="74">
        <f t="shared" ca="1" si="8"/>
        <v>-2.8806873296727176</v>
      </c>
      <c r="J36" s="57" t="str">
        <f t="shared" ca="1" si="9"/>
        <v/>
      </c>
      <c r="K36" s="57" t="str">
        <f t="shared" ca="1" si="19"/>
        <v/>
      </c>
      <c r="L36" t="str">
        <f t="shared" ca="1" si="20"/>
        <v/>
      </c>
      <c r="M36" s="61">
        <f t="shared" si="12"/>
        <v>5</v>
      </c>
      <c r="N36" t="str">
        <f t="shared" si="18"/>
        <v/>
      </c>
      <c r="R36" s="57">
        <v>21</v>
      </c>
      <c r="T36" s="59">
        <f t="shared" si="16"/>
        <v>-72459.612816278794</v>
      </c>
      <c r="U36" s="60">
        <f t="shared" si="13"/>
        <v>-0.36328345030839759</v>
      </c>
      <c r="V36" t="str">
        <f t="shared" si="17"/>
        <v/>
      </c>
      <c r="W36">
        <f t="shared" si="14"/>
        <v>1</v>
      </c>
      <c r="X36">
        <f t="shared" si="15"/>
        <v>21</v>
      </c>
    </row>
    <row r="37" spans="1:27" x14ac:dyDescent="0.25">
      <c r="A37" t="str">
        <f t="shared" si="7"/>
        <v/>
      </c>
      <c r="B37" s="57">
        <v>22</v>
      </c>
      <c r="C37" s="57"/>
      <c r="D37" s="57"/>
      <c r="E37" s="58"/>
      <c r="F37" s="58"/>
      <c r="G37" s="59" cm="1">
        <f t="array" aca="1" ref="G37" ca="1">IF(G36&gt;0,G36*(IF(SUM($R$3,0.01*$M$3)&gt;0.99,0.99,$R$3+0.01*$M$3)),G36)+(($Q$3+$Q$3*S23)+IF(M37=0,$P$3*_xlfn.IFS(J37="НЕУРОЖАЙ",0.25,J37="ОБЫЧНЫЙ",1,J37="РЕКОРД",1.25,J37="",1),0))-$O$3</f>
        <v>-974018.84677735344</v>
      </c>
      <c r="H37" s="60">
        <f t="shared" ca="1" si="6"/>
        <v>-4.8833400230809474</v>
      </c>
      <c r="I37" s="74">
        <f t="shared" ca="1" si="8"/>
        <v>-3.418338016156663</v>
      </c>
      <c r="J37" s="57" t="str">
        <f t="shared" ca="1" si="9"/>
        <v/>
      </c>
      <c r="K37" s="57" t="str">
        <f t="shared" ca="1" si="19"/>
        <v/>
      </c>
      <c r="L37" t="str">
        <f t="shared" ca="1" si="20"/>
        <v/>
      </c>
      <c r="M37" s="61">
        <f t="shared" si="12"/>
        <v>6</v>
      </c>
      <c r="N37" t="str">
        <f t="shared" si="18"/>
        <v/>
      </c>
      <c r="R37" s="57">
        <v>22</v>
      </c>
      <c r="T37" s="59">
        <f t="shared" si="16"/>
        <v>-113197.45338831695</v>
      </c>
      <c r="U37" s="60">
        <f t="shared" si="13"/>
        <v>-0.56752665153343385</v>
      </c>
      <c r="V37" t="str">
        <f t="shared" si="17"/>
        <v/>
      </c>
      <c r="W37">
        <f t="shared" si="14"/>
        <v>2</v>
      </c>
      <c r="X37">
        <f t="shared" si="15"/>
        <v>22</v>
      </c>
    </row>
    <row r="38" spans="1:27" x14ac:dyDescent="0.25">
      <c r="A38" t="str">
        <f t="shared" si="7"/>
        <v/>
      </c>
      <c r="B38" s="57">
        <v>23</v>
      </c>
      <c r="C38" s="57"/>
      <c r="D38" s="57"/>
      <c r="E38" s="58"/>
      <c r="F38" s="58"/>
      <c r="G38" s="59" cm="1">
        <f t="array" aca="1" ref="G38" ca="1">IF(G37&gt;0,G37*(IF(SUM($R$3,0.01*$M$3)&gt;0.99,0.99,$R$3+0.01*$M$3)),G37)+(($Q$3+$Q$3*S24)+IF(M38=0,$P$3*_xlfn.IFS(J38="НЕУРОЖАЙ",0.25,J38="ОБЫЧНЫЙ",1,J38="РЕКОРД",1.25,J38="",1),0))-$O$3</f>
        <v>-1127216.6578606868</v>
      </c>
      <c r="H38" s="60">
        <f t="shared" ca="1" si="6"/>
        <v>-5.6514124323437267</v>
      </c>
      <c r="I38" s="74">
        <f t="shared" ca="1" si="8"/>
        <v>-3.9559887026406084</v>
      </c>
      <c r="J38" s="57" t="str">
        <f t="shared" ca="1" si="9"/>
        <v/>
      </c>
      <c r="K38" s="57" t="str">
        <f t="shared" ca="1" si="19"/>
        <v/>
      </c>
      <c r="L38" t="str">
        <f t="shared" ca="1" si="20"/>
        <v/>
      </c>
      <c r="M38" s="61">
        <f t="shared" si="12"/>
        <v>7</v>
      </c>
      <c r="N38" t="str">
        <f t="shared" si="18"/>
        <v/>
      </c>
      <c r="R38" s="57">
        <v>23</v>
      </c>
      <c r="T38" s="59">
        <f t="shared" si="16"/>
        <v>-153935.29396035511</v>
      </c>
      <c r="U38" s="60">
        <f t="shared" si="13"/>
        <v>-0.77176985275847021</v>
      </c>
      <c r="V38" t="str">
        <f t="shared" si="17"/>
        <v/>
      </c>
      <c r="W38">
        <f t="shared" si="14"/>
        <v>3</v>
      </c>
      <c r="X38">
        <f t="shared" si="15"/>
        <v>23</v>
      </c>
    </row>
    <row r="39" spans="1:27" x14ac:dyDescent="0.25">
      <c r="A39" t="str">
        <f t="shared" si="7"/>
        <v>АВГУСТ</v>
      </c>
      <c r="B39" s="57">
        <v>24</v>
      </c>
      <c r="C39" s="57"/>
      <c r="D39" s="57"/>
      <c r="E39" s="58"/>
      <c r="F39" s="58"/>
      <c r="G39" s="59" cm="1">
        <f t="array" aca="1" ref="G39" ca="1">IF(G38&gt;0,G38*(IF(SUM($R$3,0.01*$M$3)&gt;0.99,0.99,$R$3+0.01*$M$3)),G38)+(($Q$3+$Q$3*S25)+IF(M39=0,$P$3*_xlfn.IFS(J39="НЕУРОЖАЙ",0.25,J39="ОБЫЧНЫЙ",1,J39="РЕКОРД",1.25,J39="",1),0))-$O$3</f>
        <v>-380414.46894402016</v>
      </c>
      <c r="H39" s="60">
        <f t="shared" ca="1" si="6"/>
        <v>-1.9072456428330895</v>
      </c>
      <c r="I39" s="74">
        <f t="shared" ca="1" si="8"/>
        <v>-1.3350719499831625</v>
      </c>
      <c r="J39" s="57" t="str">
        <f t="shared" ca="1" si="9"/>
        <v>ОБЫЧНЫЙ</v>
      </c>
      <c r="K39" s="57">
        <f t="shared" ca="1" si="19"/>
        <v>74</v>
      </c>
      <c r="L39">
        <f t="shared" ca="1" si="20"/>
        <v>18</v>
      </c>
      <c r="M39" s="61">
        <f t="shared" si="12"/>
        <v>0</v>
      </c>
      <c r="N39">
        <f t="shared" ca="1" si="18"/>
        <v>100</v>
      </c>
      <c r="R39" s="57">
        <v>24</v>
      </c>
      <c r="T39" s="59">
        <f t="shared" si="16"/>
        <v>-194673.13453239325</v>
      </c>
      <c r="U39" s="60">
        <f t="shared" si="13"/>
        <v>-0.97601305398350635</v>
      </c>
      <c r="V39">
        <f t="shared" si="17"/>
        <v>6</v>
      </c>
      <c r="W39">
        <f t="shared" si="14"/>
        <v>0</v>
      </c>
      <c r="X39">
        <f t="shared" si="15"/>
        <v>24</v>
      </c>
    </row>
    <row r="40" spans="1:27" x14ac:dyDescent="0.25">
      <c r="A40" t="str">
        <f t="shared" si="7"/>
        <v/>
      </c>
      <c r="B40" s="57">
        <v>25</v>
      </c>
      <c r="C40" s="57"/>
      <c r="D40" s="57"/>
      <c r="E40" s="58"/>
      <c r="F40" s="58"/>
      <c r="G40" s="59" cm="1">
        <f t="array" aca="1" ref="G40" ca="1">IF(G39&gt;0,G39*(IF(SUM($R$3,0.01*$M$3)&gt;0.99,0.99,$R$3+0.01*$M$3)),G39)+(($Q$3+$Q$3*S26)+IF(M40=0,$P$3*_xlfn.IFS(J40="НЕУРОЖАЙ",0.25,J40="ОБЫЧНЫЙ",1,J40="РЕКОРД",1.25,J40="",1),0))-$O$3</f>
        <v>-533612.28002735344</v>
      </c>
      <c r="H40" s="60">
        <f t="shared" ca="1" si="6"/>
        <v>-2.6753180520958684</v>
      </c>
      <c r="I40" s="74">
        <f t="shared" ca="1" si="8"/>
        <v>-1.8727226364671077</v>
      </c>
      <c r="J40" s="57" t="str">
        <f t="shared" ca="1" si="9"/>
        <v/>
      </c>
      <c r="K40" s="57" t="str">
        <f t="shared" ca="1" si="19"/>
        <v/>
      </c>
      <c r="L40" t="str">
        <f t="shared" ca="1" si="20"/>
        <v/>
      </c>
      <c r="M40" s="61">
        <f t="shared" si="12"/>
        <v>1</v>
      </c>
      <c r="N40" t="str">
        <f t="shared" si="18"/>
        <v/>
      </c>
      <c r="R40" s="57">
        <v>25</v>
      </c>
      <c r="T40" s="59">
        <f t="shared" si="16"/>
        <v>-235410.97510443139</v>
      </c>
      <c r="U40" s="60">
        <f t="shared" si="13"/>
        <v>-1.1802562552085425</v>
      </c>
      <c r="V40" t="str">
        <f t="shared" si="17"/>
        <v/>
      </c>
      <c r="W40">
        <f t="shared" si="14"/>
        <v>1</v>
      </c>
      <c r="X40">
        <f t="shared" si="15"/>
        <v>25</v>
      </c>
    </row>
    <row r="41" spans="1:27" x14ac:dyDescent="0.25">
      <c r="A41" t="str">
        <f t="shared" si="7"/>
        <v/>
      </c>
      <c r="B41" s="57">
        <v>26</v>
      </c>
      <c r="C41" s="57"/>
      <c r="D41" s="57"/>
      <c r="E41" s="58"/>
      <c r="F41" s="58"/>
      <c r="G41" s="59" cm="1">
        <f t="array" aca="1" ref="G41" ca="1">IF(G40&gt;0,G40*(IF(SUM($R$3,0.01*$M$3)&gt;0.99,0.99,$R$3+0.01*$M$3)),G40)+(($Q$3+$Q$3*S27)+IF(M41=0,$P$3*_xlfn.IFS(J41="НЕУРОЖАЙ",0.25,J41="ОБЫЧНЫЙ",1,J41="РЕКОРД",1.25,J41="",1),0))-$O$3</f>
        <v>-686810.09111068677</v>
      </c>
      <c r="H41" s="60">
        <f t="shared" ca="1" si="6"/>
        <v>-3.4433904613586477</v>
      </c>
      <c r="I41" s="74">
        <f t="shared" ca="1" si="8"/>
        <v>-2.4103733229510533</v>
      </c>
      <c r="J41" s="57" t="str">
        <f t="shared" ca="1" si="9"/>
        <v/>
      </c>
      <c r="K41" s="57" t="str">
        <f t="shared" ca="1" si="19"/>
        <v/>
      </c>
      <c r="L41" t="str">
        <f t="shared" ca="1" si="20"/>
        <v/>
      </c>
      <c r="M41" s="61">
        <f t="shared" si="12"/>
        <v>2</v>
      </c>
      <c r="N41" t="str">
        <f t="shared" si="18"/>
        <v/>
      </c>
      <c r="R41" s="57">
        <v>26</v>
      </c>
      <c r="T41" s="59">
        <f t="shared" si="16"/>
        <v>-276148.81567646953</v>
      </c>
      <c r="U41" s="60">
        <f t="shared" si="13"/>
        <v>-1.3844994564335789</v>
      </c>
      <c r="V41" t="str">
        <f t="shared" si="17"/>
        <v/>
      </c>
      <c r="W41">
        <f t="shared" si="14"/>
        <v>2</v>
      </c>
      <c r="X41">
        <f t="shared" si="15"/>
        <v>26</v>
      </c>
    </row>
    <row r="42" spans="1:27" x14ac:dyDescent="0.25">
      <c r="A42" t="str">
        <f t="shared" si="7"/>
        <v/>
      </c>
      <c r="B42" s="57">
        <v>27</v>
      </c>
      <c r="C42" s="57"/>
      <c r="D42" s="57"/>
      <c r="E42" s="58"/>
      <c r="F42" s="58"/>
      <c r="G42" s="59" cm="1">
        <f t="array" aca="1" ref="G42" ca="1">IF(G41&gt;0,G41*(IF(SUM($R$3,0.01*$M$3)&gt;0.99,0.99,$R$3+0.01*$M$3)),G41)+(($Q$3+$Q$3*S28)+IF(M42=0,$P$3*_xlfn.IFS(J42="НЕУРОЖАЙ",0.25,J42="ОБЫЧНЫЙ",1,J42="РЕКОРД",1.25,J42="",1),0))-$O$3</f>
        <v>-840007.90219402011</v>
      </c>
      <c r="H42" s="60">
        <f t="shared" ca="1" si="6"/>
        <v>-4.2114628706214265</v>
      </c>
      <c r="I42" s="74">
        <f t="shared" ca="1" si="8"/>
        <v>-2.9480240094349983</v>
      </c>
      <c r="J42" s="57" t="str">
        <f t="shared" ca="1" si="9"/>
        <v/>
      </c>
      <c r="K42" s="57" t="str">
        <f t="shared" ca="1" si="19"/>
        <v/>
      </c>
      <c r="L42" t="str">
        <f t="shared" ca="1" si="20"/>
        <v/>
      </c>
      <c r="M42" s="61">
        <f t="shared" si="12"/>
        <v>3</v>
      </c>
      <c r="N42" t="str">
        <f t="shared" si="18"/>
        <v/>
      </c>
      <c r="R42" s="57">
        <v>27</v>
      </c>
      <c r="T42" s="59">
        <f t="shared" si="16"/>
        <v>-316886.65624850767</v>
      </c>
      <c r="U42" s="60">
        <f t="shared" si="13"/>
        <v>-1.588742657658615</v>
      </c>
      <c r="V42" t="str">
        <f t="shared" si="17"/>
        <v/>
      </c>
      <c r="W42">
        <f t="shared" si="14"/>
        <v>3</v>
      </c>
      <c r="X42">
        <f t="shared" si="15"/>
        <v>27</v>
      </c>
    </row>
    <row r="43" spans="1:27" x14ac:dyDescent="0.25">
      <c r="A43" t="str">
        <f t="shared" si="7"/>
        <v/>
      </c>
      <c r="B43" s="57">
        <v>28</v>
      </c>
      <c r="C43" s="57"/>
      <c r="D43" s="57"/>
      <c r="E43" s="58"/>
      <c r="F43" s="58"/>
      <c r="G43" s="59" cm="1">
        <f t="array" aca="1" ref="G43" ca="1">IF(G42&gt;0,G42*(IF(SUM($R$3,0.01*$M$3)&gt;0.99,0.99,$R$3+0.01*$M$3)),G42)+(($Q$3+$Q$3*S29)+IF(M43=0,$P$3*_xlfn.IFS(J43="НЕУРОЖАЙ",0.25,J43="ОБЫЧНЫЙ",1,J43="РЕКОРД",1.25,J43="",1),0))-$O$3</f>
        <v>-993205.71327735344</v>
      </c>
      <c r="H43" s="60">
        <f t="shared" ca="1" si="6"/>
        <v>-4.9795352798842059</v>
      </c>
      <c r="I43" s="74">
        <f t="shared" ca="1" si="8"/>
        <v>-3.4856746959189437</v>
      </c>
      <c r="J43" s="57" t="str">
        <f t="shared" ca="1" si="9"/>
        <v/>
      </c>
      <c r="K43" s="57" t="str">
        <f t="shared" ca="1" si="19"/>
        <v/>
      </c>
      <c r="L43" t="str">
        <f t="shared" ca="1" si="20"/>
        <v/>
      </c>
      <c r="M43" s="61">
        <f t="shared" si="12"/>
        <v>4</v>
      </c>
      <c r="N43" t="str">
        <f t="shared" si="18"/>
        <v/>
      </c>
      <c r="R43" s="57">
        <v>28</v>
      </c>
      <c r="T43" s="59">
        <f t="shared" si="16"/>
        <v>-357624.49682054581</v>
      </c>
      <c r="U43" s="60">
        <f t="shared" si="13"/>
        <v>-1.7929858588836511</v>
      </c>
      <c r="V43">
        <f t="shared" si="17"/>
        <v>7</v>
      </c>
      <c r="W43">
        <f t="shared" si="14"/>
        <v>0</v>
      </c>
      <c r="X43">
        <f t="shared" si="15"/>
        <v>28</v>
      </c>
    </row>
    <row r="44" spans="1:27" x14ac:dyDescent="0.25">
      <c r="A44" t="str">
        <f t="shared" si="7"/>
        <v/>
      </c>
      <c r="B44" s="57">
        <v>29</v>
      </c>
      <c r="C44" s="57"/>
      <c r="D44" s="57"/>
      <c r="E44" s="58"/>
      <c r="F44" s="58"/>
      <c r="G44" s="59" cm="1">
        <f t="array" aca="1" ref="G44" ca="1">IF(G43&gt;0,G43*(IF(SUM($R$3,0.01*$M$3)&gt;0.99,0.99,$R$3+0.01*$M$3)),G43)+(($Q$3+$Q$3*S30)+IF(M44=0,$P$3*_xlfn.IFS(J44="НЕУРОЖАЙ",0.25,J44="ОБЫЧНЫЙ",1,J44="РЕКОРД",1.25,J44="",1),0))-$O$3</f>
        <v>-1146403.5243606868</v>
      </c>
      <c r="H44" s="60">
        <f t="shared" ca="1" si="6"/>
        <v>-5.7476076891469852</v>
      </c>
      <c r="I44" s="74">
        <f t="shared" ca="1" si="8"/>
        <v>-4.0233253824028896</v>
      </c>
      <c r="J44" s="57" t="str">
        <f t="shared" ca="1" si="9"/>
        <v/>
      </c>
      <c r="K44" s="57" t="str">
        <f t="shared" ca="1" si="19"/>
        <v/>
      </c>
      <c r="L44" t="str">
        <f t="shared" ca="1" si="20"/>
        <v/>
      </c>
      <c r="M44" s="61">
        <f t="shared" si="12"/>
        <v>5</v>
      </c>
      <c r="N44" t="str">
        <f t="shared" si="18"/>
        <v/>
      </c>
      <c r="R44" s="57">
        <v>29</v>
      </c>
      <c r="T44" s="59">
        <f t="shared" si="16"/>
        <v>-398362.33739258396</v>
      </c>
      <c r="U44" s="60">
        <f t="shared" si="13"/>
        <v>-1.9972290601086873</v>
      </c>
      <c r="V44" t="str">
        <f t="shared" si="17"/>
        <v/>
      </c>
      <c r="W44">
        <f t="shared" si="14"/>
        <v>1</v>
      </c>
      <c r="X44">
        <f t="shared" si="15"/>
        <v>29</v>
      </c>
    </row>
    <row r="45" spans="1:27" x14ac:dyDescent="0.25">
      <c r="A45" t="str">
        <f t="shared" si="7"/>
        <v/>
      </c>
      <c r="B45" s="57">
        <v>30</v>
      </c>
      <c r="C45" s="57"/>
      <c r="D45" s="57"/>
      <c r="E45" s="58"/>
      <c r="F45" s="58"/>
      <c r="G45" s="59" cm="1">
        <f t="array" aca="1" ref="G45" ca="1">IF(G44&gt;0,G44*(IF(SUM($R$3,0.01*$M$3)&gt;0.99,0.99,$R$3+0.01*$M$3)),G44)+(($Q$3+$Q$3*S31)+IF(M45=0,$P$3*_xlfn.IFS(J45="НЕУРОЖАЙ",0.25,J45="ОБЫЧНЫЙ",1,J45="РЕКОРД",1.25,J45="",1),0))-$O$3</f>
        <v>-1299601.3354440201</v>
      </c>
      <c r="H45" s="60">
        <f t="shared" ca="1" si="6"/>
        <v>-6.5156800984097645</v>
      </c>
      <c r="I45" s="74">
        <f t="shared" ca="1" si="8"/>
        <v>-4.560976068886835</v>
      </c>
      <c r="J45" s="57" t="str">
        <f t="shared" ca="1" si="9"/>
        <v/>
      </c>
      <c r="K45" s="57" t="str">
        <f t="shared" ca="1" si="19"/>
        <v/>
      </c>
      <c r="L45" t="str">
        <f t="shared" ca="1" si="20"/>
        <v/>
      </c>
      <c r="M45" s="61">
        <f t="shared" si="12"/>
        <v>6</v>
      </c>
      <c r="N45" t="str">
        <f t="shared" si="18"/>
        <v/>
      </c>
      <c r="R45" s="57">
        <v>30</v>
      </c>
      <c r="T45" s="59">
        <f t="shared" si="16"/>
        <v>-439100.1779646221</v>
      </c>
      <c r="U45" s="60">
        <f t="shared" si="13"/>
        <v>-2.2014722613337234</v>
      </c>
      <c r="V45" t="str">
        <f t="shared" si="17"/>
        <v/>
      </c>
      <c r="W45">
        <f t="shared" si="14"/>
        <v>2</v>
      </c>
      <c r="X45">
        <f t="shared" si="15"/>
        <v>30</v>
      </c>
    </row>
    <row r="46" spans="1:27" x14ac:dyDescent="0.25">
      <c r="A46" t="str">
        <f t="shared" si="7"/>
        <v/>
      </c>
      <c r="B46" s="57">
        <v>31</v>
      </c>
      <c r="C46" s="57"/>
      <c r="D46" s="57"/>
      <c r="E46" s="58"/>
      <c r="F46" s="58"/>
      <c r="G46" s="59" cm="1">
        <f t="array" aca="1" ref="G46" ca="1">IF(G45&gt;0,G45*(IF(SUM($R$3,0.01*$M$3)&gt;0.99,0.99,$R$3+0.01*$M$3)),G45)+(($Q$3+$Q$3*S32)+IF(M46=0,$P$3*_xlfn.IFS(J46="НЕУРОЖАЙ",0.25,J46="ОБЫЧНЫЙ",1,J46="РЕКОРД",1.25,J46="",1),0))-$O$3</f>
        <v>-1452799.1465273534</v>
      </c>
      <c r="H46" s="60">
        <f t="shared" ca="1" si="6"/>
        <v>-7.2837525076725438</v>
      </c>
      <c r="I46" s="74">
        <f t="shared" ca="1" si="8"/>
        <v>-5.0986267553707805</v>
      </c>
      <c r="J46" s="57" t="str">
        <f t="shared" ca="1" si="9"/>
        <v/>
      </c>
      <c r="K46" s="57" t="str">
        <f t="shared" ca="1" si="19"/>
        <v/>
      </c>
      <c r="L46" t="str">
        <f t="shared" ca="1" si="20"/>
        <v/>
      </c>
      <c r="M46" s="61">
        <f t="shared" si="12"/>
        <v>7</v>
      </c>
      <c r="N46" t="str">
        <f t="shared" si="18"/>
        <v/>
      </c>
      <c r="R46" s="57">
        <v>31</v>
      </c>
      <c r="T46" s="59">
        <f t="shared" si="16"/>
        <v>-479838.01853666024</v>
      </c>
      <c r="U46" s="60">
        <f t="shared" si="13"/>
        <v>-2.40571546255876</v>
      </c>
      <c r="V46" t="str">
        <f t="shared" si="17"/>
        <v/>
      </c>
      <c r="W46">
        <f t="shared" si="14"/>
        <v>3</v>
      </c>
      <c r="X46">
        <f t="shared" si="15"/>
        <v>31</v>
      </c>
    </row>
    <row r="47" spans="1:27" x14ac:dyDescent="0.25">
      <c r="A47" t="str">
        <f t="shared" si="7"/>
        <v>АВГУСТ</v>
      </c>
      <c r="B47" s="57">
        <v>32</v>
      </c>
      <c r="C47" s="57"/>
      <c r="D47" s="57"/>
      <c r="E47" s="58"/>
      <c r="F47" s="58"/>
      <c r="G47" s="59" cm="1">
        <f t="array" aca="1" ref="G47" ca="1">IF(G46&gt;0,G46*(IF(SUM($R$3,0.01*$M$3)&gt;0.99,0.99,$R$3+0.01*$M$3)),G46)+(($Q$3+$Q$3*S33)+IF(M47=0,$P$3*_xlfn.IFS(J47="НЕУРОЖАЙ",0.25,J47="ОБЫЧНЫЙ",1,J47="РЕКОРД",1.25,J47="",1),0))-$O$3</f>
        <v>-1380996.9576106868</v>
      </c>
      <c r="H47" s="60">
        <f t="shared" ca="1" si="6"/>
        <v>-6.9237651172419685</v>
      </c>
      <c r="I47" s="74">
        <f t="shared" ca="1" si="8"/>
        <v>-4.8466355820693776</v>
      </c>
      <c r="J47" s="57" t="str">
        <f t="shared" ca="1" si="9"/>
        <v>НЕУРОЖАЙ</v>
      </c>
      <c r="K47" s="57">
        <f t="shared" ca="1" si="19"/>
        <v>20</v>
      </c>
      <c r="L47" t="str">
        <f t="shared" ca="1" si="20"/>
        <v/>
      </c>
      <c r="M47" s="61">
        <f t="shared" si="12"/>
        <v>0</v>
      </c>
      <c r="N47">
        <f t="shared" ca="1" si="18"/>
        <v>133</v>
      </c>
      <c r="R47" s="57">
        <v>32</v>
      </c>
      <c r="T47" s="59">
        <f t="shared" ca="1" si="16"/>
        <v>379424.14089130168</v>
      </c>
      <c r="U47" s="60">
        <f t="shared" ca="1" si="13"/>
        <v>1.9022805349896212</v>
      </c>
      <c r="V47">
        <f t="shared" si="17"/>
        <v>8</v>
      </c>
      <c r="W47">
        <f t="shared" si="14"/>
        <v>0</v>
      </c>
      <c r="X47">
        <f t="shared" si="15"/>
        <v>0</v>
      </c>
      <c r="Y47" s="57" t="str">
        <f ca="1">J23</f>
        <v>ОБЫЧНЫЙ</v>
      </c>
      <c r="Z47" s="57">
        <f ca="1">K23</f>
        <v>88</v>
      </c>
      <c r="AA47" s="57">
        <f>N23</f>
        <v>34</v>
      </c>
    </row>
    <row r="48" spans="1:27" x14ac:dyDescent="0.25">
      <c r="A48" t="str">
        <f t="shared" si="7"/>
        <v/>
      </c>
      <c r="B48" s="57">
        <v>33</v>
      </c>
      <c r="C48" s="57"/>
      <c r="D48" s="57"/>
      <c r="E48" s="58"/>
      <c r="F48" s="58"/>
      <c r="G48" s="59" cm="1">
        <f t="array" aca="1" ref="G48" ca="1">IF(G47&gt;0,G47*(IF(SUM($R$3,0.01*$M$3)&gt;0.99,0.99,$R$3+0.01*$M$3)),G47)+(($Q$3+$Q$3*S34)+IF(M48=0,$P$3*_xlfn.IFS(J48="НЕУРОЖАЙ",0.25,J48="ОБЫЧНЫЙ",1,J48="РЕКОРД",1.25,J48="",1),0))-$O$3</f>
        <v>-1534194.7686940201</v>
      </c>
      <c r="H48" s="60">
        <f t="shared" ca="1" si="6"/>
        <v>-7.6918375265047478</v>
      </c>
      <c r="I48" s="74">
        <f t="shared" ca="1" si="8"/>
        <v>-5.384286268553323</v>
      </c>
      <c r="J48" s="57" t="str">
        <f t="shared" ca="1" si="9"/>
        <v/>
      </c>
      <c r="K48" s="57" t="str">
        <f t="shared" ca="1" si="19"/>
        <v/>
      </c>
      <c r="L48" t="str">
        <f t="shared" ca="1" si="20"/>
        <v/>
      </c>
      <c r="M48" s="61">
        <f t="shared" si="12"/>
        <v>1</v>
      </c>
      <c r="N48" t="str">
        <f t="shared" si="18"/>
        <v/>
      </c>
      <c r="R48" s="57">
        <v>33</v>
      </c>
      <c r="T48" s="59">
        <f t="shared" ca="1" si="16"/>
        <v>338686.30031926354</v>
      </c>
      <c r="U48" s="60">
        <f t="shared" ca="1" si="13"/>
        <v>1.6980373337645851</v>
      </c>
      <c r="V48" t="str">
        <f t="shared" si="17"/>
        <v/>
      </c>
      <c r="W48">
        <f t="shared" si="14"/>
        <v>1</v>
      </c>
      <c r="X48">
        <f t="shared" si="15"/>
        <v>1</v>
      </c>
    </row>
    <row r="49" spans="1:24" x14ac:dyDescent="0.25">
      <c r="A49" t="str">
        <f t="shared" si="7"/>
        <v/>
      </c>
      <c r="B49" s="57">
        <v>34</v>
      </c>
      <c r="C49" s="57"/>
      <c r="D49" s="57"/>
      <c r="E49" s="58"/>
      <c r="F49" s="58"/>
      <c r="G49" s="59" cm="1">
        <f t="array" aca="1" ref="G49" ca="1">IF(G48&gt;0,G48*(IF(SUM($R$3,0.01*$M$3)&gt;0.99,0.99,$R$3+0.01*$M$3)),G48)+(($Q$3+$Q$3*S35)+IF(M49=0,$P$3*_xlfn.IFS(J49="НЕУРОЖАЙ",0.25,J49="ОБЫЧНЫЙ",1,J49="РЕКОРД",1.25,J49="",1),0))-$O$3</f>
        <v>-1687392.5797773534</v>
      </c>
      <c r="H49" s="60">
        <f t="shared" ca="1" si="6"/>
        <v>-8.4599099357675271</v>
      </c>
      <c r="I49" s="74">
        <f t="shared" ca="1" si="8"/>
        <v>-5.9219369550372685</v>
      </c>
      <c r="J49" s="57" t="str">
        <f t="shared" ca="1" si="9"/>
        <v/>
      </c>
      <c r="K49" s="57" t="str">
        <f t="shared" ca="1" si="19"/>
        <v/>
      </c>
      <c r="L49" t="str">
        <f t="shared" ca="1" si="20"/>
        <v/>
      </c>
      <c r="M49" s="61">
        <f t="shared" si="12"/>
        <v>2</v>
      </c>
      <c r="N49" t="str">
        <f t="shared" si="18"/>
        <v/>
      </c>
      <c r="R49" s="57">
        <v>34</v>
      </c>
      <c r="T49" s="59">
        <f t="shared" ca="1" si="16"/>
        <v>297948.4597472254</v>
      </c>
      <c r="U49" s="60">
        <f t="shared" ca="1" si="13"/>
        <v>1.493794132539549</v>
      </c>
      <c r="V49" t="str">
        <f t="shared" si="17"/>
        <v/>
      </c>
      <c r="W49">
        <f t="shared" si="14"/>
        <v>2</v>
      </c>
      <c r="X49">
        <f t="shared" si="15"/>
        <v>2</v>
      </c>
    </row>
    <row r="50" spans="1:24" x14ac:dyDescent="0.25">
      <c r="A50" t="str">
        <f t="shared" si="7"/>
        <v/>
      </c>
      <c r="B50" s="57">
        <v>35</v>
      </c>
      <c r="C50" s="57"/>
      <c r="D50" s="57"/>
      <c r="E50" s="58"/>
      <c r="F50" s="58"/>
      <c r="G50" s="59" cm="1">
        <f t="array" aca="1" ref="G50" ca="1">IF(G49&gt;0,G49*(IF(SUM($R$3,0.01*$M$3)&gt;0.99,0.99,$R$3+0.01*$M$3)),G49)+(($Q$3+$Q$3*S36)+IF(M50=0,$P$3*_xlfn.IFS(J50="НЕУРОЖАЙ",0.25,J50="ОБЫЧНЫЙ",1,J50="РЕКОРД",1.25,J50="",1),0))-$O$3</f>
        <v>-1840590.3908606868</v>
      </c>
      <c r="H50" s="60">
        <f t="shared" ca="1" si="6"/>
        <v>-9.2279823450303056</v>
      </c>
      <c r="I50" s="74">
        <f t="shared" ca="1" si="8"/>
        <v>-6.4595876415212139</v>
      </c>
      <c r="J50" s="57" t="str">
        <f t="shared" ca="1" si="9"/>
        <v/>
      </c>
      <c r="K50" s="57" t="str">
        <f t="shared" ca="1" si="19"/>
        <v/>
      </c>
      <c r="L50" t="str">
        <f t="shared" ca="1" si="20"/>
        <v/>
      </c>
      <c r="M50" s="61">
        <f t="shared" si="12"/>
        <v>3</v>
      </c>
      <c r="N50" t="str">
        <f t="shared" si="18"/>
        <v/>
      </c>
      <c r="R50" s="57">
        <v>35</v>
      </c>
      <c r="T50" s="59">
        <f t="shared" ca="1" si="16"/>
        <v>257210.61917518725</v>
      </c>
      <c r="U50" s="60">
        <f t="shared" ca="1" si="13"/>
        <v>1.2895509313145126</v>
      </c>
      <c r="V50" t="str">
        <f t="shared" si="17"/>
        <v/>
      </c>
      <c r="W50">
        <f t="shared" si="14"/>
        <v>3</v>
      </c>
      <c r="X50">
        <f t="shared" si="15"/>
        <v>3</v>
      </c>
    </row>
    <row r="51" spans="1:24" x14ac:dyDescent="0.25">
      <c r="A51" t="str">
        <f t="shared" si="7"/>
        <v/>
      </c>
      <c r="B51" s="57">
        <v>36</v>
      </c>
      <c r="C51" s="57"/>
      <c r="D51" s="57"/>
      <c r="E51" s="58"/>
      <c r="F51" s="58"/>
      <c r="G51" s="59" cm="1">
        <f t="array" aca="1" ref="G51" ca="1">IF(G50&gt;0,G50*(IF(SUM($R$3,0.01*$M$3)&gt;0.99,0.99,$R$3+0.01*$M$3)),G50)+(($Q$3+$Q$3*S37)+IF(M51=0,$P$3*_xlfn.IFS(J51="НЕУРОЖАЙ",0.25,J51="ОБЫЧНЫЙ",1,J51="РЕКОРД",1.25,J51="",1),0))-$O$3</f>
        <v>-1993788.2019440201</v>
      </c>
      <c r="H51" s="60">
        <f t="shared" ca="1" si="6"/>
        <v>-9.9960547542930858</v>
      </c>
      <c r="I51" s="74">
        <f t="shared" ca="1" si="8"/>
        <v>-6.9972383280051593</v>
      </c>
      <c r="J51" s="57" t="str">
        <f t="shared" ca="1" si="9"/>
        <v/>
      </c>
      <c r="K51" s="57" t="str">
        <f t="shared" ca="1" si="19"/>
        <v/>
      </c>
      <c r="L51" t="str">
        <f t="shared" ca="1" si="20"/>
        <v/>
      </c>
      <c r="M51" s="61">
        <f t="shared" si="12"/>
        <v>4</v>
      </c>
      <c r="N51" t="str">
        <f t="shared" si="18"/>
        <v/>
      </c>
      <c r="R51" s="57">
        <v>36</v>
      </c>
      <c r="T51" s="59">
        <f t="shared" ca="1" si="16"/>
        <v>139309.59285059292</v>
      </c>
      <c r="U51" s="60">
        <f t="shared" ca="1" si="13"/>
        <v>0.69844245069512256</v>
      </c>
      <c r="V51">
        <f t="shared" si="17"/>
        <v>9</v>
      </c>
      <c r="W51">
        <f t="shared" si="14"/>
        <v>0</v>
      </c>
      <c r="X51">
        <f t="shared" si="15"/>
        <v>4</v>
      </c>
    </row>
    <row r="52" spans="1:24" x14ac:dyDescent="0.25">
      <c r="A52" t="str">
        <f t="shared" si="7"/>
        <v/>
      </c>
      <c r="B52" s="57">
        <v>37</v>
      </c>
      <c r="C52" s="57"/>
      <c r="D52" s="57"/>
      <c r="E52" s="58"/>
      <c r="F52" s="58"/>
      <c r="G52" s="59" cm="1">
        <f t="array" aca="1" ref="G52" ca="1">IF(G51&gt;0,G51*(IF(SUM($R$3,0.01*$M$3)&gt;0.99,0.99,$R$3+0.01*$M$3)),G51)+(($Q$3+$Q$3*S38)+IF(M52=0,$P$3*_xlfn.IFS(J52="НЕУРОЖАЙ",0.25,J52="ОБЫЧНЫЙ",1,J52="РЕКОРД",1.25,J52="",1),0))-$O$3</f>
        <v>-2146986.0130273537</v>
      </c>
      <c r="H52" s="60">
        <f t="shared" ca="1" si="6"/>
        <v>-10.764127163555866</v>
      </c>
      <c r="I52" s="74">
        <f t="shared" ca="1" si="8"/>
        <v>-7.5348890144891056</v>
      </c>
      <c r="J52" s="57" t="str">
        <f t="shared" ca="1" si="9"/>
        <v/>
      </c>
      <c r="K52" s="57" t="str">
        <f t="shared" ca="1" si="19"/>
        <v/>
      </c>
      <c r="L52" t="str">
        <f t="shared" ca="1" si="20"/>
        <v/>
      </c>
      <c r="M52" s="61">
        <f t="shared" si="12"/>
        <v>5</v>
      </c>
      <c r="N52" t="str">
        <f t="shared" si="18"/>
        <v/>
      </c>
      <c r="R52" s="57">
        <v>37</v>
      </c>
      <c r="T52" s="59">
        <f t="shared" ca="1" si="16"/>
        <v>98571.752278554763</v>
      </c>
      <c r="U52" s="60">
        <f t="shared" ca="1" si="13"/>
        <v>0.49419924947008631</v>
      </c>
      <c r="V52" t="str">
        <f t="shared" si="17"/>
        <v/>
      </c>
      <c r="W52">
        <f t="shared" si="14"/>
        <v>1</v>
      </c>
      <c r="X52">
        <f t="shared" si="15"/>
        <v>5</v>
      </c>
    </row>
    <row r="53" spans="1:24" x14ac:dyDescent="0.25">
      <c r="A53" t="str">
        <f t="shared" si="7"/>
        <v/>
      </c>
      <c r="B53" s="57">
        <v>38</v>
      </c>
      <c r="C53" s="57"/>
      <c r="D53" s="57"/>
      <c r="E53" s="58"/>
      <c r="F53" s="58"/>
      <c r="G53" s="59" cm="1">
        <f t="array" aca="1" ref="G53" ca="1">IF(G52&gt;0,G52*(IF(SUM($R$3,0.01*$M$3)&gt;0.99,0.99,$R$3+0.01*$M$3)),G52)+(($Q$3+$Q$3*S39)+IF(M53=0,$P$3*_xlfn.IFS(J53="НЕУРОЖАЙ",0.25,J53="ОБЫЧНЫЙ",1,J53="РЕКОРД",1.25,J53="",1),0))-$O$3</f>
        <v>-2300183.8241106868</v>
      </c>
      <c r="H53" s="60">
        <f t="shared" ca="1" si="6"/>
        <v>-11.532199572818644</v>
      </c>
      <c r="I53" s="74">
        <f t="shared" ca="1" si="8"/>
        <v>-8.0725397009730511</v>
      </c>
      <c r="J53" s="57" t="str">
        <f t="shared" ca="1" si="9"/>
        <v/>
      </c>
      <c r="K53" s="57" t="str">
        <f t="shared" ca="1" si="19"/>
        <v/>
      </c>
      <c r="L53" t="str">
        <f t="shared" ca="1" si="20"/>
        <v/>
      </c>
      <c r="M53" s="61">
        <f t="shared" si="12"/>
        <v>6</v>
      </c>
      <c r="N53" t="str">
        <f t="shared" si="18"/>
        <v/>
      </c>
      <c r="R53" s="57">
        <v>38</v>
      </c>
      <c r="T53" s="59">
        <f t="shared" ca="1" si="16"/>
        <v>57833.911706516607</v>
      </c>
      <c r="U53" s="60">
        <f t="shared" ca="1" si="13"/>
        <v>0.28995604824505006</v>
      </c>
      <c r="V53" t="str">
        <f t="shared" si="17"/>
        <v/>
      </c>
      <c r="W53">
        <f t="shared" si="14"/>
        <v>2</v>
      </c>
      <c r="X53">
        <f t="shared" si="15"/>
        <v>6</v>
      </c>
    </row>
    <row r="54" spans="1:24" x14ac:dyDescent="0.25">
      <c r="A54" t="str">
        <f t="shared" si="7"/>
        <v/>
      </c>
      <c r="B54" s="57">
        <v>39</v>
      </c>
      <c r="C54" s="57"/>
      <c r="D54" s="57"/>
      <c r="E54" s="58"/>
      <c r="F54" s="58"/>
      <c r="G54" s="59" cm="1">
        <f t="array" aca="1" ref="G54" ca="1">IF(G53&gt;0,G53*(IF(SUM($R$3,0.01*$M$3)&gt;0.99,0.99,$R$3+0.01*$M$3)),G53)+(($Q$3+$Q$3*S40)+IF(M54=0,$P$3*_xlfn.IFS(J54="НЕУРОЖАЙ",0.25,J54="ОБЫЧНЫЙ",1,J54="РЕКОРД",1.25,J54="",1),0))-$O$3</f>
        <v>-2453381.6351940199</v>
      </c>
      <c r="H54" s="60">
        <f t="shared" ca="1" si="6"/>
        <v>-12.300271982081423</v>
      </c>
      <c r="I54" s="74">
        <f t="shared" ca="1" si="8"/>
        <v>-8.6101903874569956</v>
      </c>
      <c r="J54" s="57" t="str">
        <f t="shared" ca="1" si="9"/>
        <v/>
      </c>
      <c r="K54" s="57" t="str">
        <f t="shared" ca="1" si="19"/>
        <v/>
      </c>
      <c r="L54" t="str">
        <f t="shared" ca="1" si="20"/>
        <v/>
      </c>
      <c r="M54" s="61">
        <f t="shared" si="12"/>
        <v>7</v>
      </c>
      <c r="N54" t="str">
        <f t="shared" si="18"/>
        <v/>
      </c>
      <c r="R54" s="57">
        <v>39</v>
      </c>
      <c r="T54" s="59">
        <f t="shared" ca="1" si="16"/>
        <v>17096.07113447845</v>
      </c>
      <c r="U54" s="60">
        <f t="shared" ca="1" si="13"/>
        <v>8.5712847020013763E-2</v>
      </c>
      <c r="V54" t="str">
        <f t="shared" si="17"/>
        <v/>
      </c>
      <c r="W54">
        <f t="shared" si="14"/>
        <v>3</v>
      </c>
      <c r="X54">
        <f t="shared" si="15"/>
        <v>7</v>
      </c>
    </row>
    <row r="55" spans="1:24" x14ac:dyDescent="0.25">
      <c r="A55" t="str">
        <f t="shared" si="7"/>
        <v>АВГУСТ</v>
      </c>
      <c r="B55" s="57">
        <v>40</v>
      </c>
      <c r="C55" s="57"/>
      <c r="D55" s="57"/>
      <c r="E55" s="58"/>
      <c r="F55" s="58"/>
      <c r="G55" s="59" cm="1">
        <f t="array" aca="1" ref="G55" ca="1">IF(G54&gt;0,G54*(IF(SUM($R$3,0.01*$M$3)&gt;0.99,0.99,$R$3+0.01*$M$3)),G54)+(($Q$3+$Q$3*S41)+IF(M55=0,$P$3*_xlfn.IFS(J55="НЕУРОЖАЙ",0.25,J55="ОБЫЧНЫЙ",1,J55="РЕКОРД",1.25,J55="",1),0))-$O$3</f>
        <v>-1706579.4462773532</v>
      </c>
      <c r="H55" s="60">
        <f t="shared" ca="1" si="6"/>
        <v>-8.5561051925707847</v>
      </c>
      <c r="I55" s="74">
        <f t="shared" ca="1" si="8"/>
        <v>-5.9892736347995488</v>
      </c>
      <c r="J55" s="57" t="str">
        <f t="shared" ca="1" si="9"/>
        <v>ОБЫЧНЫЙ</v>
      </c>
      <c r="K55" s="57">
        <f t="shared" ca="1" si="19"/>
        <v>75</v>
      </c>
      <c r="L55">
        <f t="shared" ca="1" si="20"/>
        <v>16</v>
      </c>
      <c r="M55" s="61">
        <f t="shared" si="12"/>
        <v>0</v>
      </c>
      <c r="N55">
        <f t="shared" ca="1" si="18"/>
        <v>1</v>
      </c>
      <c r="R55" s="57">
        <v>40</v>
      </c>
      <c r="T55" s="59">
        <f t="shared" ca="1" si="16"/>
        <v>-28770.590777903242</v>
      </c>
      <c r="U55" s="60">
        <f t="shared" ca="1" si="13"/>
        <v>-0.14424420831102666</v>
      </c>
      <c r="V55">
        <f t="shared" si="17"/>
        <v>10</v>
      </c>
      <c r="W55">
        <f t="shared" si="14"/>
        <v>0</v>
      </c>
      <c r="X55">
        <f t="shared" si="15"/>
        <v>8</v>
      </c>
    </row>
    <row r="56" spans="1:24" x14ac:dyDescent="0.25">
      <c r="A56" t="str">
        <f t="shared" si="7"/>
        <v/>
      </c>
      <c r="B56" s="57">
        <v>41</v>
      </c>
      <c r="C56" s="57"/>
      <c r="D56" s="57"/>
      <c r="E56" s="58"/>
      <c r="F56" s="58"/>
      <c r="G56" s="59" cm="1">
        <f t="array" aca="1" ref="G56" ca="1">IF(G55&gt;0,G55*(IF(SUM($R$3,0.01*$M$3)&gt;0.99,0.99,$R$3+0.01*$M$3)),G55)+(($Q$3+$Q$3*S42)+IF(M56=0,$P$3*_xlfn.IFS(J56="НЕУРОЖАЙ",0.25,J56="ОБЫЧНЫЙ",1,J56="РЕКОРД",1.25,J56="",1),0))-$O$3</f>
        <v>-1859777.2573606865</v>
      </c>
      <c r="H56" s="60">
        <f t="shared" ca="1" si="6"/>
        <v>-9.3241776018335631</v>
      </c>
      <c r="I56" s="74">
        <f t="shared" ca="1" si="8"/>
        <v>-6.5269243212834942</v>
      </c>
      <c r="J56" s="57" t="str">
        <f t="shared" ca="1" si="9"/>
        <v/>
      </c>
      <c r="K56" s="57" t="str">
        <f t="shared" ca="1" si="19"/>
        <v/>
      </c>
      <c r="L56" t="str">
        <f t="shared" ca="1" si="20"/>
        <v/>
      </c>
      <c r="M56" s="61">
        <f t="shared" si="12"/>
        <v>1</v>
      </c>
      <c r="N56" t="str">
        <f t="shared" si="18"/>
        <v/>
      </c>
      <c r="R56" s="57">
        <v>41</v>
      </c>
      <c r="T56" s="59">
        <f t="shared" ca="1" si="16"/>
        <v>-69508.431349941398</v>
      </c>
      <c r="U56" s="60">
        <f t="shared" ca="1" si="13"/>
        <v>-0.34848740953606294</v>
      </c>
      <c r="V56" t="str">
        <f t="shared" si="17"/>
        <v/>
      </c>
      <c r="W56">
        <f t="shared" si="14"/>
        <v>1</v>
      </c>
      <c r="X56">
        <f t="shared" si="15"/>
        <v>9</v>
      </c>
    </row>
    <row r="57" spans="1:24" x14ac:dyDescent="0.25">
      <c r="A57" t="str">
        <f t="shared" si="7"/>
        <v/>
      </c>
      <c r="B57" s="57">
        <v>42</v>
      </c>
      <c r="C57" s="57"/>
      <c r="D57" s="57"/>
      <c r="E57" s="58"/>
      <c r="F57" s="58"/>
      <c r="G57" s="59" cm="1">
        <f t="array" aca="1" ref="G57" ca="1">IF(G56&gt;0,G56*(IF(SUM($R$3,0.01*$M$3)&gt;0.99,0.99,$R$3+0.01*$M$3)),G56)+(($Q$3+$Q$3*S43)+IF(M57=0,$P$3*_xlfn.IFS(J57="НЕУРОЖАЙ",0.25,J57="ОБЫЧНЫЙ",1,J57="РЕКОРД",1.25,J57="",1),0))-$O$3</f>
        <v>-2012975.0684440199</v>
      </c>
      <c r="H57" s="60">
        <f t="shared" ca="1" si="6"/>
        <v>-10.092250011096343</v>
      </c>
      <c r="I57" s="74">
        <f t="shared" ca="1" si="8"/>
        <v>-7.0645750077674396</v>
      </c>
      <c r="J57" s="57" t="str">
        <f t="shared" ca="1" si="9"/>
        <v/>
      </c>
      <c r="K57" s="57" t="str">
        <f t="shared" ca="1" si="19"/>
        <v/>
      </c>
      <c r="L57" t="str">
        <f t="shared" ca="1" si="20"/>
        <v/>
      </c>
      <c r="M57" s="61">
        <f t="shared" si="12"/>
        <v>2</v>
      </c>
      <c r="N57" t="str">
        <f t="shared" si="18"/>
        <v/>
      </c>
      <c r="R57" s="57">
        <v>42</v>
      </c>
      <c r="T57" s="59">
        <f t="shared" ca="1" si="16"/>
        <v>-110246.27192197955</v>
      </c>
      <c r="U57" s="60">
        <f t="shared" ca="1" si="13"/>
        <v>-0.55273061076109919</v>
      </c>
      <c r="V57" t="str">
        <f t="shared" si="17"/>
        <v/>
      </c>
      <c r="W57">
        <f t="shared" si="14"/>
        <v>2</v>
      </c>
      <c r="X57">
        <f t="shared" si="15"/>
        <v>10</v>
      </c>
    </row>
    <row r="58" spans="1:24" x14ac:dyDescent="0.25">
      <c r="A58" t="str">
        <f t="shared" si="7"/>
        <v/>
      </c>
      <c r="B58" s="57">
        <v>43</v>
      </c>
      <c r="C58" s="57"/>
      <c r="D58" s="57"/>
      <c r="E58" s="58"/>
      <c r="F58" s="58"/>
      <c r="G58" s="59" cm="1">
        <f t="array" aca="1" ref="G58" ca="1">IF(G57&gt;0,G57*(IF(SUM($R$3,0.01*$M$3)&gt;0.99,0.99,$R$3+0.01*$M$3)),G57)+(($Q$3+$Q$3*S44)+IF(M58=0,$P$3*_xlfn.IFS(J58="НЕУРОЖАЙ",0.25,J58="ОБЫЧНЫЙ",1,J58="РЕКОРД",1.25,J58="",1),0))-$O$3</f>
        <v>-2166172.8795273532</v>
      </c>
      <c r="H58" s="60">
        <f t="shared" ca="1" si="6"/>
        <v>-10.860322420359122</v>
      </c>
      <c r="I58" s="74">
        <f t="shared" ca="1" si="8"/>
        <v>-7.6022256942513851</v>
      </c>
      <c r="J58" s="57" t="str">
        <f t="shared" ca="1" si="9"/>
        <v/>
      </c>
      <c r="K58" s="57" t="str">
        <f t="shared" ca="1" si="19"/>
        <v/>
      </c>
      <c r="L58" t="str">
        <f t="shared" ca="1" si="20"/>
        <v/>
      </c>
      <c r="M58" s="61">
        <f t="shared" si="12"/>
        <v>3</v>
      </c>
      <c r="N58" t="str">
        <f t="shared" si="18"/>
        <v/>
      </c>
      <c r="R58" s="57">
        <v>43</v>
      </c>
      <c r="T58" s="59">
        <f t="shared" ca="1" si="16"/>
        <v>-150984.1124940177</v>
      </c>
      <c r="U58" s="60">
        <f t="shared" ca="1" si="13"/>
        <v>-0.75697381198613545</v>
      </c>
      <c r="V58" t="str">
        <f t="shared" si="17"/>
        <v/>
      </c>
      <c r="W58">
        <f t="shared" si="14"/>
        <v>3</v>
      </c>
      <c r="X58">
        <f t="shared" si="15"/>
        <v>11</v>
      </c>
    </row>
    <row r="59" spans="1:24" x14ac:dyDescent="0.25">
      <c r="A59" t="str">
        <f t="shared" si="7"/>
        <v/>
      </c>
      <c r="B59" s="57">
        <v>44</v>
      </c>
      <c r="C59" s="57"/>
      <c r="D59" s="57"/>
      <c r="E59" s="58"/>
      <c r="F59" s="58"/>
      <c r="G59" s="59" cm="1">
        <f t="array" aca="1" ref="G59" ca="1">IF(G58&gt;0,G58*(IF(SUM($R$3,0.01*$M$3)&gt;0.99,0.99,$R$3+0.01*$M$3)),G58)+(($Q$3+$Q$3*S45)+IF(M59=0,$P$3*_xlfn.IFS(J59="НЕУРОЖАЙ",0.25,J59="ОБЫЧНЫЙ",1,J59="РЕКОРД",1.25,J59="",1),0))-$O$3</f>
        <v>-2319370.6906106863</v>
      </c>
      <c r="H59" s="60">
        <f t="shared" ca="1" si="6"/>
        <v>-11.6283948296219</v>
      </c>
      <c r="I59" s="74">
        <f t="shared" ca="1" si="8"/>
        <v>-8.1398763807353305</v>
      </c>
      <c r="J59" s="57" t="str">
        <f t="shared" ca="1" si="9"/>
        <v/>
      </c>
      <c r="K59" s="57" t="str">
        <f t="shared" ca="1" si="19"/>
        <v/>
      </c>
      <c r="L59" t="str">
        <f t="shared" ca="1" si="20"/>
        <v/>
      </c>
      <c r="M59" s="61">
        <f t="shared" si="12"/>
        <v>4</v>
      </c>
      <c r="N59" t="str">
        <f t="shared" si="18"/>
        <v/>
      </c>
      <c r="R59" s="57">
        <v>44</v>
      </c>
      <c r="T59" s="59">
        <f t="shared" ca="1" si="16"/>
        <v>-191721.95306605584</v>
      </c>
      <c r="U59" s="60">
        <f t="shared" ca="1" si="13"/>
        <v>-0.96121701321117159</v>
      </c>
      <c r="V59">
        <f t="shared" si="17"/>
        <v>11</v>
      </c>
      <c r="W59">
        <f t="shared" si="14"/>
        <v>0</v>
      </c>
      <c r="X59">
        <f t="shared" si="15"/>
        <v>12</v>
      </c>
    </row>
    <row r="60" spans="1:24" x14ac:dyDescent="0.25">
      <c r="A60" t="str">
        <f t="shared" si="7"/>
        <v/>
      </c>
      <c r="B60" s="57">
        <v>45</v>
      </c>
      <c r="C60" s="57"/>
      <c r="D60" s="57"/>
      <c r="E60" s="58"/>
      <c r="F60" s="58"/>
      <c r="G60" s="59" cm="1">
        <f t="array" aca="1" ref="G60" ca="1">IF(G59&gt;0,G59*(IF(SUM($R$3,0.01*$M$3)&gt;0.99,0.99,$R$3+0.01*$M$3)),G59)+(($Q$3+$Q$3*S46)+IF(M60=0,$P$3*_xlfn.IFS(J60="НЕУРОЖАЙ",0.25,J60="ОБЫЧНЫЙ",1,J60="РЕКОРД",1.25,J60="",1),0))-$O$3</f>
        <v>-2472568.5016940194</v>
      </c>
      <c r="H60" s="60">
        <f t="shared" ca="1" si="6"/>
        <v>-12.396467238884679</v>
      </c>
      <c r="I60" s="74">
        <f t="shared" ca="1" si="8"/>
        <v>-8.677527067219275</v>
      </c>
      <c r="J60" s="57" t="str">
        <f t="shared" ca="1" si="9"/>
        <v/>
      </c>
      <c r="K60" s="57" t="str">
        <f t="shared" ca="1" si="19"/>
        <v/>
      </c>
      <c r="L60" t="str">
        <f t="shared" ca="1" si="20"/>
        <v/>
      </c>
      <c r="M60" s="61">
        <f t="shared" si="12"/>
        <v>5</v>
      </c>
      <c r="N60" t="str">
        <f t="shared" si="18"/>
        <v/>
      </c>
      <c r="R60" s="57">
        <v>45</v>
      </c>
      <c r="T60" s="59">
        <f t="shared" ca="1" si="16"/>
        <v>-232459.79363809398</v>
      </c>
      <c r="U60" s="60">
        <f t="shared" ca="1" si="13"/>
        <v>-1.1654602144362078</v>
      </c>
      <c r="V60" t="str">
        <f t="shared" si="17"/>
        <v/>
      </c>
      <c r="W60">
        <f t="shared" si="14"/>
        <v>1</v>
      </c>
      <c r="X60">
        <f t="shared" si="15"/>
        <v>13</v>
      </c>
    </row>
    <row r="61" spans="1:24" x14ac:dyDescent="0.25">
      <c r="A61" t="str">
        <f t="shared" si="7"/>
        <v/>
      </c>
      <c r="B61" s="57">
        <v>46</v>
      </c>
      <c r="C61" s="57"/>
      <c r="D61" s="57"/>
      <c r="E61" s="58"/>
      <c r="F61" s="58"/>
      <c r="G61" s="59" cm="1">
        <f t="array" aca="1" ref="G61" ca="1">IF(G60&gt;0,G60*(IF(SUM($R$3,0.01*$M$3)&gt;0.99,0.99,$R$3+0.01*$M$3)),G60)+(($Q$3+$Q$3*S47)+IF(M61=0,$P$3*_xlfn.IFS(J61="НЕУРОЖАЙ",0.25,J61="ОБЫЧНЫЙ",1,J61="РЕКОРД",1.25,J61="",1),0))-$O$3</f>
        <v>-2625766.3127773525</v>
      </c>
      <c r="H61" s="60">
        <f t="shared" ca="1" si="6"/>
        <v>-13.164539648147457</v>
      </c>
      <c r="I61" s="74">
        <f t="shared" ca="1" si="8"/>
        <v>-9.2151777537032196</v>
      </c>
      <c r="J61" s="57" t="str">
        <f t="shared" ca="1" si="9"/>
        <v/>
      </c>
      <c r="K61" s="57" t="str">
        <f t="shared" ca="1" si="19"/>
        <v/>
      </c>
      <c r="L61" t="str">
        <f t="shared" ca="1" si="20"/>
        <v/>
      </c>
      <c r="M61" s="61">
        <f t="shared" si="12"/>
        <v>6</v>
      </c>
      <c r="N61" t="str">
        <f t="shared" si="18"/>
        <v/>
      </c>
      <c r="R61" s="57">
        <v>46</v>
      </c>
      <c r="T61" s="59">
        <f t="shared" ca="1" si="16"/>
        <v>-273197.63421013212</v>
      </c>
      <c r="U61" s="60">
        <f t="shared" ca="1" si="13"/>
        <v>-1.369703415661244</v>
      </c>
      <c r="V61" t="str">
        <f t="shared" si="17"/>
        <v/>
      </c>
      <c r="W61">
        <f t="shared" si="14"/>
        <v>2</v>
      </c>
      <c r="X61">
        <f t="shared" si="15"/>
        <v>14</v>
      </c>
    </row>
    <row r="62" spans="1:24" x14ac:dyDescent="0.25">
      <c r="A62" t="str">
        <f t="shared" si="7"/>
        <v/>
      </c>
      <c r="B62" s="57">
        <v>47</v>
      </c>
      <c r="C62" s="57"/>
      <c r="D62" s="57"/>
      <c r="E62" s="58"/>
      <c r="F62" s="58"/>
      <c r="G62" s="59" cm="1">
        <f t="array" aca="1" ref="G62" ca="1">IF(G61&gt;0,G61*(IF(SUM($R$3,0.01*$M$3)&gt;0.99,0.99,$R$3+0.01*$M$3)),G61)+(($Q$3+$Q$3*S48)+IF(M62=0,$P$3*_xlfn.IFS(J62="НЕУРОЖАЙ",0.25,J62="ОБЫЧНЫЙ",1,J62="РЕКОРД",1.25,J62="",1),0))-$O$3</f>
        <v>-2778964.1238606856</v>
      </c>
      <c r="H62" s="60">
        <f t="shared" ca="1" si="6"/>
        <v>-13.932612057410234</v>
      </c>
      <c r="I62" s="74">
        <f t="shared" ca="1" si="8"/>
        <v>-9.7528284401871623</v>
      </c>
      <c r="J62" s="57" t="str">
        <f t="shared" ca="1" si="9"/>
        <v/>
      </c>
      <c r="K62" s="57" t="str">
        <f t="shared" ca="1" si="19"/>
        <v/>
      </c>
      <c r="L62" t="str">
        <f t="shared" ca="1" si="20"/>
        <v/>
      </c>
      <c r="M62" s="61">
        <f t="shared" si="12"/>
        <v>7</v>
      </c>
      <c r="N62" t="str">
        <f t="shared" si="18"/>
        <v/>
      </c>
      <c r="R62" s="57">
        <v>47</v>
      </c>
      <c r="T62" s="59">
        <f t="shared" ca="1" si="16"/>
        <v>-313935.47478217026</v>
      </c>
      <c r="U62" s="60">
        <f t="shared" ca="1" si="13"/>
        <v>-1.5739466168862801</v>
      </c>
      <c r="V62" t="str">
        <f t="shared" si="17"/>
        <v/>
      </c>
      <c r="W62">
        <f t="shared" si="14"/>
        <v>3</v>
      </c>
      <c r="X62">
        <f t="shared" si="15"/>
        <v>15</v>
      </c>
    </row>
    <row r="63" spans="1:24" x14ac:dyDescent="0.25">
      <c r="A63" t="str">
        <f t="shared" si="7"/>
        <v>АВГУСТ</v>
      </c>
      <c r="B63" s="57">
        <v>48</v>
      </c>
      <c r="C63" s="57"/>
      <c r="D63" s="57"/>
      <c r="E63" s="58"/>
      <c r="F63" s="58"/>
      <c r="G63" s="59" cm="1">
        <f t="array" aca="1" ref="G63" ca="1">IF(G62&gt;0,G62*(IF(SUM($R$3,0.01*$M$3)&gt;0.99,0.99,$R$3+0.01*$M$3)),G62)+(($Q$3+$Q$3*S49)+IF(M63=0,$P$3*_xlfn.IFS(J63="НЕУРОЖАЙ",0.25,J63="ОБЫЧНЫЙ",1,J63="РЕКОРД",1.25,J63="",1),0))-$O$3</f>
        <v>-2707161.9349440187</v>
      </c>
      <c r="H63" s="60">
        <f t="shared" ca="1" si="6"/>
        <v>-13.572624666979658</v>
      </c>
      <c r="I63" s="74">
        <f t="shared" ca="1" si="8"/>
        <v>-9.5008372668857604</v>
      </c>
      <c r="J63" s="57" t="str">
        <f ca="1">_xlfn.IFS(AND(K63&gt;0,K63&lt;34),"НЕУРОЖАЙ",AND(L63&gt;0,L63&lt;11),"РЕКОРД",NOT(M63=0),"",AND(K63&gt;33,L63&gt;10),"ОБЫЧНЫЙ")</f>
        <v>НЕУРОЖАЙ</v>
      </c>
      <c r="K63" s="57">
        <f t="shared" ca="1" si="19"/>
        <v>5</v>
      </c>
      <c r="L63" t="str">
        <f t="shared" ca="1" si="20"/>
        <v/>
      </c>
      <c r="M63" s="61">
        <f t="shared" si="12"/>
        <v>0</v>
      </c>
      <c r="N63">
        <f ca="1">IF(M63=0,IF(J55="НЕУРОЖАЙ",1,N55+33),"")</f>
        <v>34</v>
      </c>
      <c r="R63" s="57">
        <v>48</v>
      </c>
      <c r="T63" s="59">
        <f t="shared" ca="1" si="16"/>
        <v>-354673.3153542084</v>
      </c>
      <c r="U63" s="60">
        <f t="shared" ca="1" si="13"/>
        <v>-1.7781898181113165</v>
      </c>
      <c r="V63">
        <f t="shared" si="17"/>
        <v>12</v>
      </c>
      <c r="W63">
        <f t="shared" si="14"/>
        <v>0</v>
      </c>
      <c r="X63">
        <f t="shared" si="15"/>
        <v>16</v>
      </c>
    </row>
    <row r="64" spans="1:24" x14ac:dyDescent="0.25">
      <c r="R64" s="57">
        <v>49</v>
      </c>
      <c r="T64" s="59">
        <f t="shared" ca="1" si="16"/>
        <v>-395411.15592624655</v>
      </c>
      <c r="U64" s="60">
        <f t="shared" ca="1" si="13"/>
        <v>-1.9824330193363526</v>
      </c>
      <c r="V64" t="str">
        <f t="shared" si="17"/>
        <v/>
      </c>
      <c r="W64">
        <f t="shared" si="14"/>
        <v>1</v>
      </c>
      <c r="X64">
        <f t="shared" si="15"/>
        <v>17</v>
      </c>
    </row>
    <row r="65" spans="5:27" x14ac:dyDescent="0.25">
      <c r="R65" s="57">
        <v>50</v>
      </c>
      <c r="T65" s="59">
        <f t="shared" ca="1" si="16"/>
        <v>-436148.99649828469</v>
      </c>
      <c r="U65" s="60">
        <f t="shared" ca="1" si="13"/>
        <v>-2.186676220561389</v>
      </c>
      <c r="V65" t="str">
        <f t="shared" si="17"/>
        <v/>
      </c>
      <c r="W65">
        <f t="shared" si="14"/>
        <v>2</v>
      </c>
      <c r="X65">
        <f t="shared" si="15"/>
        <v>18</v>
      </c>
    </row>
    <row r="66" spans="5:27" x14ac:dyDescent="0.25">
      <c r="R66" s="57">
        <v>51</v>
      </c>
      <c r="T66" s="59">
        <f t="shared" ca="1" si="16"/>
        <v>-476886.83707032283</v>
      </c>
      <c r="U66" s="60">
        <f t="shared" ca="1" si="13"/>
        <v>-2.3909194217864251</v>
      </c>
      <c r="V66" t="str">
        <f t="shared" si="17"/>
        <v/>
      </c>
      <c r="W66">
        <f t="shared" si="14"/>
        <v>3</v>
      </c>
      <c r="X66">
        <f t="shared" si="15"/>
        <v>19</v>
      </c>
    </row>
    <row r="67" spans="5:27" x14ac:dyDescent="0.25">
      <c r="R67" s="57">
        <v>52</v>
      </c>
      <c r="T67" s="59">
        <f t="shared" ca="1" si="16"/>
        <v>-517624.67764236097</v>
      </c>
      <c r="U67" s="60">
        <f t="shared" ca="1" si="13"/>
        <v>-2.5951626230114613</v>
      </c>
      <c r="V67">
        <f t="shared" si="17"/>
        <v>13</v>
      </c>
      <c r="W67">
        <f t="shared" si="14"/>
        <v>0</v>
      </c>
      <c r="X67">
        <f t="shared" si="15"/>
        <v>20</v>
      </c>
    </row>
    <row r="68" spans="5:27" x14ac:dyDescent="0.25">
      <c r="R68" s="57">
        <v>53</v>
      </c>
      <c r="T68" s="59">
        <f t="shared" ca="1" si="16"/>
        <v>-558362.51821439911</v>
      </c>
      <c r="U68" s="60">
        <f t="shared" ca="1" si="13"/>
        <v>-2.7994058242364974</v>
      </c>
      <c r="V68" t="str">
        <f t="shared" si="17"/>
        <v/>
      </c>
      <c r="W68">
        <f t="shared" si="14"/>
        <v>1</v>
      </c>
      <c r="X68">
        <f t="shared" si="15"/>
        <v>21</v>
      </c>
    </row>
    <row r="69" spans="5:27" x14ac:dyDescent="0.25">
      <c r="R69" s="57">
        <v>54</v>
      </c>
      <c r="T69" s="59">
        <f t="shared" ca="1" si="16"/>
        <v>-599100.35878643731</v>
      </c>
      <c r="U69" s="60">
        <f t="shared" ca="1" si="13"/>
        <v>-3.003649025461534</v>
      </c>
      <c r="V69" t="str">
        <f t="shared" si="17"/>
        <v/>
      </c>
      <c r="W69">
        <f t="shared" si="14"/>
        <v>2</v>
      </c>
      <c r="X69">
        <f t="shared" si="15"/>
        <v>22</v>
      </c>
    </row>
    <row r="70" spans="5:27" x14ac:dyDescent="0.25">
      <c r="R70" s="57">
        <v>55</v>
      </c>
      <c r="T70" s="59">
        <f t="shared" ca="1" si="16"/>
        <v>-639838.19935847551</v>
      </c>
      <c r="U70" s="60">
        <f t="shared" ca="1" si="13"/>
        <v>-3.2078922266865706</v>
      </c>
      <c r="V70" t="str">
        <f t="shared" si="17"/>
        <v/>
      </c>
      <c r="W70">
        <f t="shared" si="14"/>
        <v>3</v>
      </c>
      <c r="X70">
        <f t="shared" si="15"/>
        <v>23</v>
      </c>
    </row>
    <row r="71" spans="5:27" x14ac:dyDescent="0.25">
      <c r="R71" s="57">
        <v>56</v>
      </c>
      <c r="T71" s="59">
        <f t="shared" ca="1" si="16"/>
        <v>-680576.03993051371</v>
      </c>
      <c r="U71" s="60">
        <f t="shared" ca="1" si="13"/>
        <v>-3.4121354279116067</v>
      </c>
      <c r="V71">
        <f t="shared" si="17"/>
        <v>14</v>
      </c>
      <c r="W71">
        <f t="shared" si="14"/>
        <v>0</v>
      </c>
      <c r="X71">
        <f t="shared" si="15"/>
        <v>24</v>
      </c>
    </row>
    <row r="72" spans="5:27" x14ac:dyDescent="0.25">
      <c r="R72" s="57">
        <v>57</v>
      </c>
      <c r="T72" s="59">
        <f t="shared" ca="1" si="16"/>
        <v>-721313.88050255191</v>
      </c>
      <c r="U72" s="60">
        <f t="shared" ca="1" si="13"/>
        <v>-3.6163786291366433</v>
      </c>
      <c r="V72" t="str">
        <f t="shared" si="17"/>
        <v/>
      </c>
      <c r="W72">
        <f t="shared" si="14"/>
        <v>1</v>
      </c>
      <c r="X72">
        <f t="shared" si="15"/>
        <v>25</v>
      </c>
    </row>
    <row r="73" spans="5:27" x14ac:dyDescent="0.25">
      <c r="R73" s="57">
        <v>58</v>
      </c>
      <c r="T73" s="59">
        <f t="shared" ca="1" si="16"/>
        <v>-762051.72107459011</v>
      </c>
      <c r="U73" s="60">
        <f t="shared" ca="1" si="13"/>
        <v>-3.8206218303616799</v>
      </c>
      <c r="V73" t="str">
        <f t="shared" si="17"/>
        <v/>
      </c>
      <c r="W73">
        <f t="shared" si="14"/>
        <v>2</v>
      </c>
      <c r="X73">
        <f t="shared" si="15"/>
        <v>26</v>
      </c>
    </row>
    <row r="74" spans="5:27" x14ac:dyDescent="0.25">
      <c r="R74" s="57">
        <v>59</v>
      </c>
      <c r="T74" s="59">
        <f t="shared" ca="1" si="16"/>
        <v>-802789.56164662831</v>
      </c>
      <c r="U74" s="60">
        <f t="shared" ca="1" si="13"/>
        <v>-4.0248650315867165</v>
      </c>
      <c r="V74" t="str">
        <f t="shared" si="17"/>
        <v/>
      </c>
      <c r="W74">
        <f t="shared" si="14"/>
        <v>3</v>
      </c>
      <c r="X74">
        <f t="shared" si="15"/>
        <v>27</v>
      </c>
    </row>
    <row r="75" spans="5:27" x14ac:dyDescent="0.25">
      <c r="R75" s="57">
        <v>60</v>
      </c>
      <c r="T75" s="59">
        <f t="shared" ca="1" si="16"/>
        <v>-843527.40221866651</v>
      </c>
      <c r="U75" s="60">
        <f t="shared" ca="1" si="13"/>
        <v>-4.2291082328117531</v>
      </c>
      <c r="V75">
        <f t="shared" si="17"/>
        <v>15</v>
      </c>
      <c r="W75">
        <f t="shared" si="14"/>
        <v>0</v>
      </c>
      <c r="X75">
        <f t="shared" si="15"/>
        <v>28</v>
      </c>
    </row>
    <row r="76" spans="5:27" x14ac:dyDescent="0.25">
      <c r="R76" s="57">
        <v>61</v>
      </c>
      <c r="T76" s="59">
        <f t="shared" ca="1" si="16"/>
        <v>-884265.24279070471</v>
      </c>
      <c r="U76" s="60">
        <f t="shared" ca="1" si="13"/>
        <v>-4.4333514340367897</v>
      </c>
      <c r="V76" t="str">
        <f t="shared" si="17"/>
        <v/>
      </c>
      <c r="W76">
        <f t="shared" si="14"/>
        <v>1</v>
      </c>
      <c r="X76">
        <f t="shared" si="15"/>
        <v>29</v>
      </c>
    </row>
    <row r="77" spans="5:27" x14ac:dyDescent="0.25">
      <c r="R77" s="57">
        <v>62</v>
      </c>
      <c r="T77" s="59">
        <f t="shared" ca="1" si="16"/>
        <v>-925003.08336274291</v>
      </c>
      <c r="U77" s="60">
        <f t="shared" ca="1" si="13"/>
        <v>-4.6375946352618262</v>
      </c>
      <c r="V77" t="str">
        <f t="shared" si="17"/>
        <v/>
      </c>
      <c r="W77">
        <f t="shared" si="14"/>
        <v>2</v>
      </c>
      <c r="X77">
        <f t="shared" si="15"/>
        <v>30</v>
      </c>
    </row>
    <row r="78" spans="5:27" x14ac:dyDescent="0.25">
      <c r="E78" s="59">
        <v>5555555</v>
      </c>
      <c r="F78" s="45">
        <f>E78*0.3</f>
        <v>1666666.5</v>
      </c>
      <c r="R78" s="57">
        <v>63</v>
      </c>
      <c r="T78" s="59">
        <f t="shared" ca="1" si="16"/>
        <v>-965740.92393478111</v>
      </c>
      <c r="U78" s="60">
        <f t="shared" ca="1" si="13"/>
        <v>-4.8418378364868628</v>
      </c>
      <c r="V78" t="str">
        <f t="shared" si="17"/>
        <v/>
      </c>
      <c r="W78">
        <f t="shared" si="14"/>
        <v>3</v>
      </c>
      <c r="X78">
        <f t="shared" si="15"/>
        <v>31</v>
      </c>
    </row>
    <row r="79" spans="5:27" x14ac:dyDescent="0.25">
      <c r="E79" s="45">
        <f>E78+1234567</f>
        <v>6790122</v>
      </c>
      <c r="F79" s="45">
        <f>E79-F78</f>
        <v>5123455.5</v>
      </c>
      <c r="R79" s="57">
        <v>64</v>
      </c>
      <c r="T79" s="59">
        <f t="shared" ca="1" si="16"/>
        <v>-106478.76450681921</v>
      </c>
      <c r="U79" s="60">
        <f t="shared" ca="1" si="13"/>
        <v>-0.53384183893848136</v>
      </c>
      <c r="V79">
        <f t="shared" si="17"/>
        <v>16</v>
      </c>
      <c r="W79">
        <f t="shared" si="14"/>
        <v>0</v>
      </c>
      <c r="X79">
        <f t="shared" si="15"/>
        <v>0</v>
      </c>
      <c r="Y79" s="57" t="str">
        <f ca="1">J31</f>
        <v>ОБЫЧНЫЙ</v>
      </c>
      <c r="Z79" s="57">
        <f ca="1">K31</f>
        <v>99</v>
      </c>
      <c r="AA79" s="57">
        <f ca="1">N31</f>
        <v>67</v>
      </c>
    </row>
    <row r="80" spans="5:27" x14ac:dyDescent="0.25">
      <c r="R80" s="57">
        <v>65</v>
      </c>
      <c r="T80" s="59">
        <f t="shared" ca="1" si="16"/>
        <v>-147216.60507885736</v>
      </c>
      <c r="U80" s="60">
        <f t="shared" ca="1" si="13"/>
        <v>-0.73808504016351761</v>
      </c>
      <c r="V80" t="str">
        <f t="shared" si="17"/>
        <v/>
      </c>
      <c r="W80">
        <f t="shared" si="14"/>
        <v>1</v>
      </c>
      <c r="X80">
        <f t="shared" si="15"/>
        <v>1</v>
      </c>
    </row>
    <row r="81" spans="18:24" x14ac:dyDescent="0.25">
      <c r="R81" s="57">
        <v>66</v>
      </c>
      <c r="T81" s="59">
        <f t="shared" ca="1" si="16"/>
        <v>-187954.44565089553</v>
      </c>
      <c r="U81" s="60">
        <f t="shared" ref="U81:U144" ca="1" si="21">T81/$O$3</f>
        <v>-0.94232824138855398</v>
      </c>
      <c r="V81" t="str">
        <f t="shared" si="17"/>
        <v/>
      </c>
      <c r="W81">
        <f t="shared" ref="W81:W144" si="22">MOD(R81,4)</f>
        <v>2</v>
      </c>
      <c r="X81">
        <f t="shared" ref="X81:X95" si="23">MOD(R81,32)</f>
        <v>2</v>
      </c>
    </row>
    <row r="82" spans="18:24" x14ac:dyDescent="0.25">
      <c r="R82" s="57">
        <v>67</v>
      </c>
      <c r="T82" s="59">
        <f t="shared" ref="T82:T145" ca="1" si="24">IF(AND(T81&gt;0,W82=0),T81*(IF(SUM($R$3,0.01*$M$3)&gt;0.99,0.99,$R$3+0.01*$M$3)),T81)+((($Q$3+$Q$3*$S$3)/4)+(IF(X82=0,$P$3*_xlfn.IFS(Y82="НЕУРОЖАЙ",0.25,Y82="ОБЫЧНЫЙ",1,Y82="РЕКОРД",1.25,Y82="",1),0)))-($O$3/4)</f>
        <v>-228692.28622293368</v>
      </c>
      <c r="U82" s="60">
        <f t="shared" ca="1" si="21"/>
        <v>-1.1465714426135902</v>
      </c>
      <c r="V82" t="str">
        <f t="shared" si="17"/>
        <v/>
      </c>
      <c r="W82">
        <f t="shared" si="22"/>
        <v>3</v>
      </c>
      <c r="X82">
        <f t="shared" si="23"/>
        <v>3</v>
      </c>
    </row>
    <row r="83" spans="18:24" x14ac:dyDescent="0.25">
      <c r="R83" s="57">
        <v>68</v>
      </c>
      <c r="T83" s="59">
        <f t="shared" ca="1" si="24"/>
        <v>-269430.12679497182</v>
      </c>
      <c r="U83" s="60">
        <f t="shared" ca="1" si="21"/>
        <v>-1.3508146438386264</v>
      </c>
      <c r="V83">
        <f t="shared" si="17"/>
        <v>17</v>
      </c>
      <c r="W83">
        <f t="shared" si="22"/>
        <v>0</v>
      </c>
      <c r="X83">
        <f t="shared" si="23"/>
        <v>4</v>
      </c>
    </row>
    <row r="84" spans="18:24" x14ac:dyDescent="0.25">
      <c r="R84" s="57">
        <v>69</v>
      </c>
      <c r="T84" s="59">
        <f t="shared" ca="1" si="24"/>
        <v>-310167.96736700996</v>
      </c>
      <c r="U84" s="60">
        <f t="shared" ca="1" si="21"/>
        <v>-1.5550578450636627</v>
      </c>
      <c r="V84" t="str">
        <f t="shared" ref="V84:V147" si="25">IF(W84=0,V80+1,"")</f>
        <v/>
      </c>
      <c r="W84">
        <f t="shared" si="22"/>
        <v>1</v>
      </c>
      <c r="X84">
        <f t="shared" si="23"/>
        <v>5</v>
      </c>
    </row>
    <row r="85" spans="18:24" x14ac:dyDescent="0.25">
      <c r="R85" s="57">
        <v>70</v>
      </c>
      <c r="T85" s="59">
        <f t="shared" ca="1" si="24"/>
        <v>-350905.8079390481</v>
      </c>
      <c r="U85" s="60">
        <f t="shared" ca="1" si="21"/>
        <v>-1.7593010462886989</v>
      </c>
      <c r="V85" t="str">
        <f t="shared" si="25"/>
        <v/>
      </c>
      <c r="W85">
        <f t="shared" si="22"/>
        <v>2</v>
      </c>
      <c r="X85">
        <f t="shared" si="23"/>
        <v>6</v>
      </c>
    </row>
    <row r="86" spans="18:24" x14ac:dyDescent="0.25">
      <c r="R86" s="57">
        <v>71</v>
      </c>
      <c r="T86" s="59">
        <f t="shared" ca="1" si="24"/>
        <v>-391643.64851108624</v>
      </c>
      <c r="U86" s="60">
        <f t="shared" ca="1" si="21"/>
        <v>-1.963544247513735</v>
      </c>
      <c r="V86" t="str">
        <f t="shared" si="25"/>
        <v/>
      </c>
      <c r="W86">
        <f t="shared" si="22"/>
        <v>3</v>
      </c>
      <c r="X86">
        <f t="shared" si="23"/>
        <v>7</v>
      </c>
    </row>
    <row r="87" spans="18:24" x14ac:dyDescent="0.25">
      <c r="R87" s="57">
        <v>72</v>
      </c>
      <c r="T87" s="59">
        <f t="shared" ca="1" si="24"/>
        <v>-432381.48908312438</v>
      </c>
      <c r="U87" s="60">
        <f t="shared" ca="1" si="21"/>
        <v>-2.1677874487387712</v>
      </c>
      <c r="V87">
        <f t="shared" si="25"/>
        <v>18</v>
      </c>
      <c r="W87">
        <f t="shared" si="22"/>
        <v>0</v>
      </c>
      <c r="X87">
        <f t="shared" si="23"/>
        <v>8</v>
      </c>
    </row>
    <row r="88" spans="18:24" x14ac:dyDescent="0.25">
      <c r="R88" s="57">
        <v>73</v>
      </c>
      <c r="T88" s="59">
        <f t="shared" ca="1" si="24"/>
        <v>-473119.32965516252</v>
      </c>
      <c r="U88" s="60">
        <f t="shared" ca="1" si="21"/>
        <v>-2.3720306499638073</v>
      </c>
      <c r="V88" t="str">
        <f t="shared" si="25"/>
        <v/>
      </c>
      <c r="W88">
        <f t="shared" si="22"/>
        <v>1</v>
      </c>
      <c r="X88">
        <f t="shared" si="23"/>
        <v>9</v>
      </c>
    </row>
    <row r="89" spans="18:24" x14ac:dyDescent="0.25">
      <c r="R89" s="57">
        <v>74</v>
      </c>
      <c r="T89" s="59">
        <f t="shared" ca="1" si="24"/>
        <v>-513857.17022720067</v>
      </c>
      <c r="U89" s="60">
        <f t="shared" ca="1" si="21"/>
        <v>-2.5762738511888434</v>
      </c>
      <c r="V89" t="str">
        <f t="shared" si="25"/>
        <v/>
      </c>
      <c r="W89">
        <f t="shared" si="22"/>
        <v>2</v>
      </c>
      <c r="X89">
        <f t="shared" si="23"/>
        <v>10</v>
      </c>
    </row>
    <row r="90" spans="18:24" x14ac:dyDescent="0.25">
      <c r="R90" s="57">
        <v>75</v>
      </c>
      <c r="T90" s="59">
        <f t="shared" ca="1" si="24"/>
        <v>-554595.01079923881</v>
      </c>
      <c r="U90" s="60">
        <f t="shared" ca="1" si="21"/>
        <v>-2.78051705241388</v>
      </c>
      <c r="V90" t="str">
        <f t="shared" si="25"/>
        <v/>
      </c>
      <c r="W90">
        <f t="shared" si="22"/>
        <v>3</v>
      </c>
      <c r="X90">
        <f t="shared" si="23"/>
        <v>11</v>
      </c>
    </row>
    <row r="91" spans="18:24" x14ac:dyDescent="0.25">
      <c r="R91" s="57">
        <v>76</v>
      </c>
      <c r="T91" s="59">
        <f t="shared" ca="1" si="24"/>
        <v>-595332.85137127701</v>
      </c>
      <c r="U91" s="60">
        <f t="shared" ca="1" si="21"/>
        <v>-2.9847602536389162</v>
      </c>
      <c r="V91">
        <f t="shared" si="25"/>
        <v>19</v>
      </c>
      <c r="W91">
        <f t="shared" si="22"/>
        <v>0</v>
      </c>
      <c r="X91">
        <f t="shared" si="23"/>
        <v>12</v>
      </c>
    </row>
    <row r="92" spans="18:24" x14ac:dyDescent="0.25">
      <c r="R92" s="57">
        <v>77</v>
      </c>
      <c r="T92" s="59">
        <f t="shared" ca="1" si="24"/>
        <v>-636070.69194331521</v>
      </c>
      <c r="U92" s="60">
        <f t="shared" ca="1" si="21"/>
        <v>-3.1890034548639528</v>
      </c>
      <c r="V92" t="str">
        <f t="shared" si="25"/>
        <v/>
      </c>
      <c r="W92">
        <f t="shared" si="22"/>
        <v>1</v>
      </c>
      <c r="X92">
        <f t="shared" si="23"/>
        <v>13</v>
      </c>
    </row>
    <row r="93" spans="18:24" x14ac:dyDescent="0.25">
      <c r="R93" s="57">
        <v>78</v>
      </c>
      <c r="T93" s="59">
        <f t="shared" ca="1" si="24"/>
        <v>-676808.53251535341</v>
      </c>
      <c r="U93" s="60">
        <f t="shared" ca="1" si="21"/>
        <v>-3.3932466560889893</v>
      </c>
      <c r="V93" t="str">
        <f t="shared" si="25"/>
        <v/>
      </c>
      <c r="W93">
        <f t="shared" si="22"/>
        <v>2</v>
      </c>
      <c r="X93">
        <f t="shared" si="23"/>
        <v>14</v>
      </c>
    </row>
    <row r="94" spans="18:24" x14ac:dyDescent="0.25">
      <c r="R94" s="57">
        <v>79</v>
      </c>
      <c r="T94" s="59">
        <f t="shared" ca="1" si="24"/>
        <v>-717546.37308739161</v>
      </c>
      <c r="U94" s="60">
        <f t="shared" ca="1" si="21"/>
        <v>-3.5974898573140259</v>
      </c>
      <c r="V94" t="str">
        <f t="shared" si="25"/>
        <v/>
      </c>
      <c r="W94">
        <f t="shared" si="22"/>
        <v>3</v>
      </c>
      <c r="X94">
        <f t="shared" si="23"/>
        <v>15</v>
      </c>
    </row>
    <row r="95" spans="18:24" x14ac:dyDescent="0.25">
      <c r="R95" s="57">
        <v>80</v>
      </c>
      <c r="T95" s="59">
        <f t="shared" ca="1" si="24"/>
        <v>-758284.21365942981</v>
      </c>
      <c r="U95" s="60">
        <f t="shared" ca="1" si="21"/>
        <v>-3.8017330585390625</v>
      </c>
      <c r="V95">
        <f t="shared" si="25"/>
        <v>20</v>
      </c>
      <c r="W95">
        <f t="shared" si="22"/>
        <v>0</v>
      </c>
      <c r="X95">
        <f t="shared" si="23"/>
        <v>16</v>
      </c>
    </row>
    <row r="96" spans="18:24" x14ac:dyDescent="0.25">
      <c r="R96" s="57">
        <v>81</v>
      </c>
      <c r="T96" s="59">
        <f t="shared" ca="1" si="24"/>
        <v>-799022.05423146801</v>
      </c>
      <c r="U96" s="60">
        <f t="shared" ca="1" si="21"/>
        <v>-4.0059762597640987</v>
      </c>
      <c r="V96" t="str">
        <f t="shared" si="25"/>
        <v/>
      </c>
      <c r="W96">
        <f t="shared" si="22"/>
        <v>1</v>
      </c>
      <c r="X96">
        <f t="shared" ref="X96:X159" si="26">MOD(R96,32)</f>
        <v>17</v>
      </c>
    </row>
    <row r="97" spans="18:27" x14ac:dyDescent="0.25">
      <c r="R97" s="57">
        <v>82</v>
      </c>
      <c r="T97" s="59">
        <f t="shared" ca="1" si="24"/>
        <v>-839759.89480350621</v>
      </c>
      <c r="U97" s="60">
        <f t="shared" ca="1" si="21"/>
        <v>-4.2102194609891352</v>
      </c>
      <c r="V97" t="str">
        <f t="shared" si="25"/>
        <v/>
      </c>
      <c r="W97">
        <f t="shared" si="22"/>
        <v>2</v>
      </c>
      <c r="X97">
        <f t="shared" si="26"/>
        <v>18</v>
      </c>
    </row>
    <row r="98" spans="18:27" x14ac:dyDescent="0.25">
      <c r="R98" s="57">
        <v>83</v>
      </c>
      <c r="T98" s="59">
        <f t="shared" ca="1" si="24"/>
        <v>-880497.73537554441</v>
      </c>
      <c r="U98" s="60">
        <f t="shared" ca="1" si="21"/>
        <v>-4.4144626622141718</v>
      </c>
      <c r="V98" t="str">
        <f t="shared" si="25"/>
        <v/>
      </c>
      <c r="W98">
        <f t="shared" si="22"/>
        <v>3</v>
      </c>
      <c r="X98">
        <f t="shared" si="26"/>
        <v>19</v>
      </c>
    </row>
    <row r="99" spans="18:27" x14ac:dyDescent="0.25">
      <c r="R99" s="57">
        <v>84</v>
      </c>
      <c r="T99" s="59">
        <f t="shared" ca="1" si="24"/>
        <v>-921235.57594758261</v>
      </c>
      <c r="U99" s="60">
        <f t="shared" ca="1" si="21"/>
        <v>-4.6187058634392084</v>
      </c>
      <c r="V99">
        <f t="shared" si="25"/>
        <v>21</v>
      </c>
      <c r="W99">
        <f t="shared" si="22"/>
        <v>0</v>
      </c>
      <c r="X99">
        <f t="shared" si="26"/>
        <v>20</v>
      </c>
    </row>
    <row r="100" spans="18:27" x14ac:dyDescent="0.25">
      <c r="R100" s="57">
        <v>85</v>
      </c>
      <c r="T100" s="59">
        <f t="shared" ca="1" si="24"/>
        <v>-961973.41651962081</v>
      </c>
      <c r="U100" s="60">
        <f t="shared" ca="1" si="21"/>
        <v>-4.822949064664245</v>
      </c>
      <c r="V100" t="str">
        <f t="shared" si="25"/>
        <v/>
      </c>
      <c r="W100">
        <f t="shared" si="22"/>
        <v>1</v>
      </c>
      <c r="X100">
        <f t="shared" si="26"/>
        <v>21</v>
      </c>
    </row>
    <row r="101" spans="18:27" x14ac:dyDescent="0.25">
      <c r="R101" s="57">
        <v>86</v>
      </c>
      <c r="T101" s="59">
        <f t="shared" ca="1" si="24"/>
        <v>-1002711.257091659</v>
      </c>
      <c r="U101" s="60">
        <f t="shared" ca="1" si="21"/>
        <v>-5.0271922658892816</v>
      </c>
      <c r="V101" t="str">
        <f t="shared" si="25"/>
        <v/>
      </c>
      <c r="W101">
        <f t="shared" si="22"/>
        <v>2</v>
      </c>
      <c r="X101">
        <f t="shared" si="26"/>
        <v>22</v>
      </c>
    </row>
    <row r="102" spans="18:27" x14ac:dyDescent="0.25">
      <c r="R102" s="57">
        <v>87</v>
      </c>
      <c r="T102" s="59">
        <f t="shared" ca="1" si="24"/>
        <v>-1043449.0976636972</v>
      </c>
      <c r="U102" s="60">
        <f t="shared" ca="1" si="21"/>
        <v>-5.2314354671143182</v>
      </c>
      <c r="V102" t="str">
        <f t="shared" si="25"/>
        <v/>
      </c>
      <c r="W102">
        <f t="shared" si="22"/>
        <v>3</v>
      </c>
      <c r="X102">
        <f t="shared" si="26"/>
        <v>23</v>
      </c>
    </row>
    <row r="103" spans="18:27" x14ac:dyDescent="0.25">
      <c r="R103" s="57">
        <v>88</v>
      </c>
      <c r="T103" s="59">
        <f t="shared" ca="1" si="24"/>
        <v>-1084186.9382357355</v>
      </c>
      <c r="U103" s="60">
        <f t="shared" ca="1" si="21"/>
        <v>-5.4356786683393548</v>
      </c>
      <c r="V103">
        <f t="shared" si="25"/>
        <v>22</v>
      </c>
      <c r="W103">
        <f t="shared" si="22"/>
        <v>0</v>
      </c>
      <c r="X103">
        <f t="shared" si="26"/>
        <v>24</v>
      </c>
    </row>
    <row r="104" spans="18:27" x14ac:dyDescent="0.25">
      <c r="R104" s="57">
        <v>89</v>
      </c>
      <c r="T104" s="59">
        <f t="shared" ca="1" si="24"/>
        <v>-1124924.7788077737</v>
      </c>
      <c r="U104" s="60">
        <f t="shared" ca="1" si="21"/>
        <v>-5.6399218695643913</v>
      </c>
      <c r="V104" t="str">
        <f t="shared" si="25"/>
        <v/>
      </c>
      <c r="W104">
        <f t="shared" si="22"/>
        <v>1</v>
      </c>
      <c r="X104">
        <f t="shared" si="26"/>
        <v>25</v>
      </c>
    </row>
    <row r="105" spans="18:27" x14ac:dyDescent="0.25">
      <c r="R105" s="57">
        <v>90</v>
      </c>
      <c r="T105" s="59">
        <f t="shared" ca="1" si="24"/>
        <v>-1165662.6193798119</v>
      </c>
      <c r="U105" s="60">
        <f t="shared" ca="1" si="21"/>
        <v>-5.8441650707894279</v>
      </c>
      <c r="V105" t="str">
        <f t="shared" si="25"/>
        <v/>
      </c>
      <c r="W105">
        <f t="shared" si="22"/>
        <v>2</v>
      </c>
      <c r="X105">
        <f t="shared" si="26"/>
        <v>26</v>
      </c>
    </row>
    <row r="106" spans="18:27" x14ac:dyDescent="0.25">
      <c r="R106" s="57">
        <v>91</v>
      </c>
      <c r="T106" s="59">
        <f t="shared" ca="1" si="24"/>
        <v>-1206400.4599518501</v>
      </c>
      <c r="U106" s="60">
        <f t="shared" ca="1" si="21"/>
        <v>-6.0484082720144645</v>
      </c>
      <c r="V106" t="str">
        <f t="shared" si="25"/>
        <v/>
      </c>
      <c r="W106">
        <f t="shared" si="22"/>
        <v>3</v>
      </c>
      <c r="X106">
        <f t="shared" si="26"/>
        <v>27</v>
      </c>
    </row>
    <row r="107" spans="18:27" x14ac:dyDescent="0.25">
      <c r="R107" s="57">
        <v>92</v>
      </c>
      <c r="T107" s="59">
        <f t="shared" ca="1" si="24"/>
        <v>-1247138.3005238883</v>
      </c>
      <c r="U107" s="60">
        <f t="shared" ca="1" si="21"/>
        <v>-6.2526514732395011</v>
      </c>
      <c r="V107">
        <f t="shared" si="25"/>
        <v>23</v>
      </c>
      <c r="W107">
        <f t="shared" si="22"/>
        <v>0</v>
      </c>
      <c r="X107">
        <f t="shared" si="26"/>
        <v>28</v>
      </c>
    </row>
    <row r="108" spans="18:27" x14ac:dyDescent="0.25">
      <c r="R108" s="57">
        <v>93</v>
      </c>
      <c r="T108" s="59">
        <f t="shared" ca="1" si="24"/>
        <v>-1287876.1410959265</v>
      </c>
      <c r="U108" s="60">
        <f t="shared" ca="1" si="21"/>
        <v>-6.4568946744645377</v>
      </c>
      <c r="V108" t="str">
        <f t="shared" si="25"/>
        <v/>
      </c>
      <c r="W108">
        <f t="shared" si="22"/>
        <v>1</v>
      </c>
      <c r="X108">
        <f t="shared" si="26"/>
        <v>29</v>
      </c>
    </row>
    <row r="109" spans="18:27" x14ac:dyDescent="0.25">
      <c r="R109" s="57">
        <v>94</v>
      </c>
      <c r="T109" s="59">
        <f t="shared" ca="1" si="24"/>
        <v>-1328613.9816679647</v>
      </c>
      <c r="U109" s="60">
        <f t="shared" ca="1" si="21"/>
        <v>-6.6611378756895743</v>
      </c>
      <c r="V109" t="str">
        <f t="shared" si="25"/>
        <v/>
      </c>
      <c r="W109">
        <f t="shared" si="22"/>
        <v>2</v>
      </c>
      <c r="X109">
        <f t="shared" si="26"/>
        <v>30</v>
      </c>
    </row>
    <row r="110" spans="18:27" x14ac:dyDescent="0.25">
      <c r="R110" s="57">
        <v>95</v>
      </c>
      <c r="T110" s="59">
        <f t="shared" ca="1" si="24"/>
        <v>-1369351.8222400029</v>
      </c>
      <c r="U110" s="60">
        <f t="shared" ca="1" si="21"/>
        <v>-6.86538107691461</v>
      </c>
      <c r="V110" t="str">
        <f t="shared" si="25"/>
        <v/>
      </c>
      <c r="W110">
        <f t="shared" si="22"/>
        <v>3</v>
      </c>
      <c r="X110">
        <f t="shared" si="26"/>
        <v>31</v>
      </c>
    </row>
    <row r="111" spans="18:27" x14ac:dyDescent="0.25">
      <c r="R111" s="57">
        <v>96</v>
      </c>
      <c r="T111" s="59">
        <f t="shared" ca="1" si="24"/>
        <v>-510089.662812041</v>
      </c>
      <c r="U111" s="60">
        <f t="shared" ca="1" si="21"/>
        <v>-2.5573850793662292</v>
      </c>
      <c r="V111">
        <f t="shared" si="25"/>
        <v>24</v>
      </c>
      <c r="W111">
        <f t="shared" si="22"/>
        <v>0</v>
      </c>
      <c r="X111">
        <f t="shared" si="26"/>
        <v>0</v>
      </c>
      <c r="Y111" s="57" t="str">
        <f ca="1">J39</f>
        <v>ОБЫЧНЫЙ</v>
      </c>
      <c r="Z111" s="57">
        <f ca="1">K39</f>
        <v>74</v>
      </c>
      <c r="AA111" s="57">
        <f ca="1">N39</f>
        <v>100</v>
      </c>
    </row>
    <row r="112" spans="18:27" x14ac:dyDescent="0.25">
      <c r="R112" s="57">
        <v>97</v>
      </c>
      <c r="T112" s="59">
        <f t="shared" ca="1" si="24"/>
        <v>-550827.5033840792</v>
      </c>
      <c r="U112" s="60">
        <f t="shared" ca="1" si="21"/>
        <v>-2.7616282805912657</v>
      </c>
      <c r="V112" t="str">
        <f t="shared" si="25"/>
        <v/>
      </c>
      <c r="W112">
        <f t="shared" si="22"/>
        <v>1</v>
      </c>
      <c r="X112">
        <f t="shared" si="26"/>
        <v>1</v>
      </c>
    </row>
    <row r="113" spans="18:24" x14ac:dyDescent="0.25">
      <c r="R113" s="57">
        <v>98</v>
      </c>
      <c r="T113" s="59">
        <f t="shared" ca="1" si="24"/>
        <v>-591565.3439561174</v>
      </c>
      <c r="U113" s="60">
        <f t="shared" ca="1" si="21"/>
        <v>-2.9658714818163023</v>
      </c>
      <c r="V113" t="str">
        <f t="shared" si="25"/>
        <v/>
      </c>
      <c r="W113">
        <f t="shared" si="22"/>
        <v>2</v>
      </c>
      <c r="X113">
        <f t="shared" si="26"/>
        <v>2</v>
      </c>
    </row>
    <row r="114" spans="18:24" x14ac:dyDescent="0.25">
      <c r="R114" s="57">
        <v>99</v>
      </c>
      <c r="T114" s="59">
        <f t="shared" ca="1" si="24"/>
        <v>-632303.1845281556</v>
      </c>
      <c r="U114" s="60">
        <f t="shared" ca="1" si="21"/>
        <v>-3.1701146830413389</v>
      </c>
      <c r="V114" t="str">
        <f t="shared" si="25"/>
        <v/>
      </c>
      <c r="W114">
        <f t="shared" si="22"/>
        <v>3</v>
      </c>
      <c r="X114">
        <f t="shared" si="26"/>
        <v>3</v>
      </c>
    </row>
    <row r="115" spans="18:24" x14ac:dyDescent="0.25">
      <c r="R115" s="57">
        <v>100</v>
      </c>
      <c r="T115" s="59">
        <f t="shared" ca="1" si="24"/>
        <v>-673041.0251001938</v>
      </c>
      <c r="U115" s="60">
        <f t="shared" ca="1" si="21"/>
        <v>-3.3743578842663751</v>
      </c>
      <c r="V115">
        <f t="shared" si="25"/>
        <v>25</v>
      </c>
      <c r="W115">
        <f t="shared" si="22"/>
        <v>0</v>
      </c>
      <c r="X115">
        <f t="shared" si="26"/>
        <v>4</v>
      </c>
    </row>
    <row r="116" spans="18:24" x14ac:dyDescent="0.25">
      <c r="R116" s="57">
        <v>101</v>
      </c>
      <c r="T116" s="59">
        <f t="shared" ca="1" si="24"/>
        <v>-713778.865672232</v>
      </c>
      <c r="U116" s="60">
        <f t="shared" ca="1" si="21"/>
        <v>-3.5786010854914116</v>
      </c>
      <c r="V116" t="str">
        <f t="shared" si="25"/>
        <v/>
      </c>
      <c r="W116">
        <f t="shared" si="22"/>
        <v>1</v>
      </c>
      <c r="X116">
        <f t="shared" si="26"/>
        <v>5</v>
      </c>
    </row>
    <row r="117" spans="18:24" x14ac:dyDescent="0.25">
      <c r="R117" s="57">
        <v>102</v>
      </c>
      <c r="T117" s="59">
        <f t="shared" ca="1" si="24"/>
        <v>-754516.7062442702</v>
      </c>
      <c r="U117" s="60">
        <f t="shared" ca="1" si="21"/>
        <v>-3.7828442867164482</v>
      </c>
      <c r="V117" t="str">
        <f t="shared" si="25"/>
        <v/>
      </c>
      <c r="W117">
        <f t="shared" si="22"/>
        <v>2</v>
      </c>
      <c r="X117">
        <f t="shared" si="26"/>
        <v>6</v>
      </c>
    </row>
    <row r="118" spans="18:24" x14ac:dyDescent="0.25">
      <c r="R118" s="57">
        <v>103</v>
      </c>
      <c r="T118" s="59">
        <f t="shared" ca="1" si="24"/>
        <v>-795254.5468163084</v>
      </c>
      <c r="U118" s="60">
        <f t="shared" ca="1" si="21"/>
        <v>-3.9870874879414848</v>
      </c>
      <c r="V118" t="str">
        <f t="shared" si="25"/>
        <v/>
      </c>
      <c r="W118">
        <f t="shared" si="22"/>
        <v>3</v>
      </c>
      <c r="X118">
        <f t="shared" si="26"/>
        <v>7</v>
      </c>
    </row>
    <row r="119" spans="18:24" x14ac:dyDescent="0.25">
      <c r="R119" s="57">
        <v>104</v>
      </c>
      <c r="T119" s="59">
        <f t="shared" ca="1" si="24"/>
        <v>-835992.3873883466</v>
      </c>
      <c r="U119" s="60">
        <f t="shared" ca="1" si="21"/>
        <v>-4.191330689166521</v>
      </c>
      <c r="V119">
        <f t="shared" si="25"/>
        <v>26</v>
      </c>
      <c r="W119">
        <f t="shared" si="22"/>
        <v>0</v>
      </c>
      <c r="X119">
        <f t="shared" si="26"/>
        <v>8</v>
      </c>
    </row>
    <row r="120" spans="18:24" x14ac:dyDescent="0.25">
      <c r="R120" s="57">
        <v>105</v>
      </c>
      <c r="T120" s="59">
        <f t="shared" ca="1" si="24"/>
        <v>-876730.2279603848</v>
      </c>
      <c r="U120" s="60">
        <f t="shared" ca="1" si="21"/>
        <v>-4.3955738903915575</v>
      </c>
      <c r="V120" t="str">
        <f t="shared" si="25"/>
        <v/>
      </c>
      <c r="W120">
        <f t="shared" si="22"/>
        <v>1</v>
      </c>
      <c r="X120">
        <f t="shared" si="26"/>
        <v>9</v>
      </c>
    </row>
    <row r="121" spans="18:24" x14ac:dyDescent="0.25">
      <c r="R121" s="57">
        <v>106</v>
      </c>
      <c r="T121" s="59">
        <f t="shared" ca="1" si="24"/>
        <v>-917468.068532423</v>
      </c>
      <c r="U121" s="60">
        <f t="shared" ca="1" si="21"/>
        <v>-4.5998170916165941</v>
      </c>
      <c r="V121" t="str">
        <f t="shared" si="25"/>
        <v/>
      </c>
      <c r="W121">
        <f t="shared" si="22"/>
        <v>2</v>
      </c>
      <c r="X121">
        <f t="shared" si="26"/>
        <v>10</v>
      </c>
    </row>
    <row r="122" spans="18:24" x14ac:dyDescent="0.25">
      <c r="R122" s="57">
        <v>107</v>
      </c>
      <c r="T122" s="59">
        <f t="shared" ca="1" si="24"/>
        <v>-958205.9091044612</v>
      </c>
      <c r="U122" s="60">
        <f t="shared" ca="1" si="21"/>
        <v>-4.8040602928416307</v>
      </c>
      <c r="V122" t="str">
        <f t="shared" si="25"/>
        <v/>
      </c>
      <c r="W122">
        <f t="shared" si="22"/>
        <v>3</v>
      </c>
      <c r="X122">
        <f t="shared" si="26"/>
        <v>11</v>
      </c>
    </row>
    <row r="123" spans="18:24" x14ac:dyDescent="0.25">
      <c r="R123" s="57">
        <v>108</v>
      </c>
      <c r="T123" s="59">
        <f t="shared" ca="1" si="24"/>
        <v>-998943.7496764994</v>
      </c>
      <c r="U123" s="60">
        <f t="shared" ca="1" si="21"/>
        <v>-5.0083034940666673</v>
      </c>
      <c r="V123">
        <f t="shared" si="25"/>
        <v>27</v>
      </c>
      <c r="W123">
        <f t="shared" si="22"/>
        <v>0</v>
      </c>
      <c r="X123">
        <f t="shared" si="26"/>
        <v>12</v>
      </c>
    </row>
    <row r="124" spans="18:24" x14ac:dyDescent="0.25">
      <c r="R124" s="57">
        <v>109</v>
      </c>
      <c r="T124" s="59">
        <f t="shared" ca="1" si="24"/>
        <v>-1039681.5902485376</v>
      </c>
      <c r="U124" s="60">
        <f t="shared" ca="1" si="21"/>
        <v>-5.2125466952917039</v>
      </c>
      <c r="V124" t="str">
        <f t="shared" si="25"/>
        <v/>
      </c>
      <c r="W124">
        <f t="shared" si="22"/>
        <v>1</v>
      </c>
      <c r="X124">
        <f t="shared" si="26"/>
        <v>13</v>
      </c>
    </row>
    <row r="125" spans="18:24" x14ac:dyDescent="0.25">
      <c r="R125" s="57">
        <v>110</v>
      </c>
      <c r="T125" s="59">
        <f t="shared" ca="1" si="24"/>
        <v>-1080419.4308205759</v>
      </c>
      <c r="U125" s="60">
        <f t="shared" ca="1" si="21"/>
        <v>-5.4167898965167405</v>
      </c>
      <c r="V125" t="str">
        <f t="shared" si="25"/>
        <v/>
      </c>
      <c r="W125">
        <f t="shared" si="22"/>
        <v>2</v>
      </c>
      <c r="X125">
        <f t="shared" si="26"/>
        <v>14</v>
      </c>
    </row>
    <row r="126" spans="18:24" x14ac:dyDescent="0.25">
      <c r="R126" s="57">
        <v>111</v>
      </c>
      <c r="T126" s="59">
        <f t="shared" ca="1" si="24"/>
        <v>-1121157.2713926141</v>
      </c>
      <c r="U126" s="60">
        <f t="shared" ca="1" si="21"/>
        <v>-5.6210330977417771</v>
      </c>
      <c r="V126" t="str">
        <f t="shared" si="25"/>
        <v/>
      </c>
      <c r="W126">
        <f t="shared" si="22"/>
        <v>3</v>
      </c>
      <c r="X126">
        <f t="shared" si="26"/>
        <v>15</v>
      </c>
    </row>
    <row r="127" spans="18:24" x14ac:dyDescent="0.25">
      <c r="R127" s="57">
        <v>112</v>
      </c>
      <c r="T127" s="59">
        <f t="shared" ca="1" si="24"/>
        <v>-1161895.1119646523</v>
      </c>
      <c r="U127" s="60">
        <f t="shared" ca="1" si="21"/>
        <v>-5.8252762989668136</v>
      </c>
      <c r="V127">
        <f t="shared" si="25"/>
        <v>28</v>
      </c>
      <c r="W127">
        <f t="shared" si="22"/>
        <v>0</v>
      </c>
      <c r="X127">
        <f t="shared" si="26"/>
        <v>16</v>
      </c>
    </row>
    <row r="128" spans="18:24" x14ac:dyDescent="0.25">
      <c r="R128" s="57">
        <v>113</v>
      </c>
      <c r="T128" s="59">
        <f t="shared" ca="1" si="24"/>
        <v>-1202632.9525366905</v>
      </c>
      <c r="U128" s="60">
        <f t="shared" ca="1" si="21"/>
        <v>-6.0295195001918502</v>
      </c>
      <c r="V128" t="str">
        <f t="shared" si="25"/>
        <v/>
      </c>
      <c r="W128">
        <f t="shared" si="22"/>
        <v>1</v>
      </c>
      <c r="X128">
        <f t="shared" si="26"/>
        <v>17</v>
      </c>
    </row>
    <row r="129" spans="18:24" x14ac:dyDescent="0.25">
      <c r="R129" s="57">
        <v>114</v>
      </c>
      <c r="T129" s="59">
        <f t="shared" ca="1" si="24"/>
        <v>-1243370.7931087287</v>
      </c>
      <c r="U129" s="60">
        <f t="shared" ca="1" si="21"/>
        <v>-6.2337627014168868</v>
      </c>
      <c r="V129" t="str">
        <f t="shared" si="25"/>
        <v/>
      </c>
      <c r="W129">
        <f t="shared" si="22"/>
        <v>2</v>
      </c>
      <c r="X129">
        <f t="shared" si="26"/>
        <v>18</v>
      </c>
    </row>
    <row r="130" spans="18:24" x14ac:dyDescent="0.25">
      <c r="R130" s="57">
        <v>115</v>
      </c>
      <c r="T130" s="59">
        <f t="shared" ca="1" si="24"/>
        <v>-1284108.6336807669</v>
      </c>
      <c r="U130" s="60">
        <f t="shared" ca="1" si="21"/>
        <v>-6.4380059026419234</v>
      </c>
      <c r="V130" t="str">
        <f t="shared" si="25"/>
        <v/>
      </c>
      <c r="W130">
        <f t="shared" si="22"/>
        <v>3</v>
      </c>
      <c r="X130">
        <f t="shared" si="26"/>
        <v>19</v>
      </c>
    </row>
    <row r="131" spans="18:24" x14ac:dyDescent="0.25">
      <c r="R131" s="57">
        <v>116</v>
      </c>
      <c r="T131" s="59">
        <f t="shared" ca="1" si="24"/>
        <v>-1324846.4742528051</v>
      </c>
      <c r="U131" s="60">
        <f t="shared" ca="1" si="21"/>
        <v>-6.64224910386696</v>
      </c>
      <c r="V131">
        <f t="shared" si="25"/>
        <v>29</v>
      </c>
      <c r="W131">
        <f t="shared" si="22"/>
        <v>0</v>
      </c>
      <c r="X131">
        <f t="shared" si="26"/>
        <v>20</v>
      </c>
    </row>
    <row r="132" spans="18:24" x14ac:dyDescent="0.25">
      <c r="R132" s="57">
        <v>117</v>
      </c>
      <c r="T132" s="59">
        <f t="shared" ca="1" si="24"/>
        <v>-1365584.3148248433</v>
      </c>
      <c r="U132" s="60">
        <f t="shared" ca="1" si="21"/>
        <v>-6.8464923050919966</v>
      </c>
      <c r="V132" t="str">
        <f t="shared" si="25"/>
        <v/>
      </c>
      <c r="W132">
        <f t="shared" si="22"/>
        <v>1</v>
      </c>
      <c r="X132">
        <f t="shared" si="26"/>
        <v>21</v>
      </c>
    </row>
    <row r="133" spans="18:24" x14ac:dyDescent="0.25">
      <c r="R133" s="57">
        <v>118</v>
      </c>
      <c r="T133" s="59">
        <f t="shared" ca="1" si="24"/>
        <v>-1406322.1553968815</v>
      </c>
      <c r="U133" s="60">
        <f t="shared" ca="1" si="21"/>
        <v>-7.0507355063170332</v>
      </c>
      <c r="V133" t="str">
        <f t="shared" si="25"/>
        <v/>
      </c>
      <c r="W133">
        <f t="shared" si="22"/>
        <v>2</v>
      </c>
      <c r="X133">
        <f t="shared" si="26"/>
        <v>22</v>
      </c>
    </row>
    <row r="134" spans="18:24" x14ac:dyDescent="0.25">
      <c r="R134" s="57">
        <v>119</v>
      </c>
      <c r="T134" s="59">
        <f t="shared" ca="1" si="24"/>
        <v>-1447059.9959689197</v>
      </c>
      <c r="U134" s="60">
        <f t="shared" ca="1" si="21"/>
        <v>-7.2549787075420689</v>
      </c>
      <c r="V134" t="str">
        <f t="shared" si="25"/>
        <v/>
      </c>
      <c r="W134">
        <f t="shared" si="22"/>
        <v>3</v>
      </c>
      <c r="X134">
        <f t="shared" si="26"/>
        <v>23</v>
      </c>
    </row>
    <row r="135" spans="18:24" x14ac:dyDescent="0.25">
      <c r="R135" s="57">
        <v>120</v>
      </c>
      <c r="T135" s="59">
        <f t="shared" ca="1" si="24"/>
        <v>-1487797.8365409579</v>
      </c>
      <c r="U135" s="60">
        <f t="shared" ca="1" si="21"/>
        <v>-7.4592219087671054</v>
      </c>
      <c r="V135">
        <f t="shared" si="25"/>
        <v>30</v>
      </c>
      <c r="W135">
        <f t="shared" si="22"/>
        <v>0</v>
      </c>
      <c r="X135">
        <f t="shared" si="26"/>
        <v>24</v>
      </c>
    </row>
    <row r="136" spans="18:24" x14ac:dyDescent="0.25">
      <c r="R136" s="57">
        <v>121</v>
      </c>
      <c r="T136" s="59">
        <f t="shared" ca="1" si="24"/>
        <v>-1528535.6771129961</v>
      </c>
      <c r="U136" s="60">
        <f t="shared" ca="1" si="21"/>
        <v>-7.663465109992142</v>
      </c>
      <c r="V136" t="str">
        <f t="shared" si="25"/>
        <v/>
      </c>
      <c r="W136">
        <f t="shared" si="22"/>
        <v>1</v>
      </c>
      <c r="X136">
        <f t="shared" si="26"/>
        <v>25</v>
      </c>
    </row>
    <row r="137" spans="18:24" x14ac:dyDescent="0.25">
      <c r="R137" s="57">
        <v>122</v>
      </c>
      <c r="T137" s="59">
        <f t="shared" ca="1" si="24"/>
        <v>-1569273.5176850343</v>
      </c>
      <c r="U137" s="60">
        <f t="shared" ca="1" si="21"/>
        <v>-7.8677083112171786</v>
      </c>
      <c r="V137" t="str">
        <f t="shared" si="25"/>
        <v/>
      </c>
      <c r="W137">
        <f t="shared" si="22"/>
        <v>2</v>
      </c>
      <c r="X137">
        <f t="shared" si="26"/>
        <v>26</v>
      </c>
    </row>
    <row r="138" spans="18:24" x14ac:dyDescent="0.25">
      <c r="R138" s="57">
        <v>123</v>
      </c>
      <c r="T138" s="59">
        <f t="shared" ca="1" si="24"/>
        <v>-1610011.3582570725</v>
      </c>
      <c r="U138" s="60">
        <f t="shared" ca="1" si="21"/>
        <v>-8.0719515124422152</v>
      </c>
      <c r="V138" t="str">
        <f t="shared" si="25"/>
        <v/>
      </c>
      <c r="W138">
        <f t="shared" si="22"/>
        <v>3</v>
      </c>
      <c r="X138">
        <f t="shared" si="26"/>
        <v>27</v>
      </c>
    </row>
    <row r="139" spans="18:24" x14ac:dyDescent="0.25">
      <c r="R139" s="57">
        <v>124</v>
      </c>
      <c r="T139" s="59">
        <f t="shared" ca="1" si="24"/>
        <v>-1650749.1988291107</v>
      </c>
      <c r="U139" s="60">
        <f t="shared" ca="1" si="21"/>
        <v>-8.2761947136672518</v>
      </c>
      <c r="V139">
        <f t="shared" si="25"/>
        <v>31</v>
      </c>
      <c r="W139">
        <f t="shared" si="22"/>
        <v>0</v>
      </c>
      <c r="X139">
        <f t="shared" si="26"/>
        <v>28</v>
      </c>
    </row>
    <row r="140" spans="18:24" x14ac:dyDescent="0.25">
      <c r="R140" s="57">
        <v>125</v>
      </c>
      <c r="T140" s="59">
        <f t="shared" ca="1" si="24"/>
        <v>-1691487.0394011489</v>
      </c>
      <c r="U140" s="60">
        <f t="shared" ca="1" si="21"/>
        <v>-8.4804379148922884</v>
      </c>
      <c r="V140" t="str">
        <f t="shared" si="25"/>
        <v/>
      </c>
      <c r="W140">
        <f t="shared" si="22"/>
        <v>1</v>
      </c>
      <c r="X140">
        <f t="shared" si="26"/>
        <v>29</v>
      </c>
    </row>
    <row r="141" spans="18:24" x14ac:dyDescent="0.25">
      <c r="R141" s="57">
        <v>126</v>
      </c>
      <c r="T141" s="59">
        <f t="shared" ca="1" si="24"/>
        <v>-1732224.8799731871</v>
      </c>
      <c r="U141" s="60">
        <f t="shared" ca="1" si="21"/>
        <v>-8.684681116117325</v>
      </c>
      <c r="V141" t="str">
        <f t="shared" si="25"/>
        <v/>
      </c>
      <c r="W141">
        <f t="shared" si="22"/>
        <v>2</v>
      </c>
      <c r="X141">
        <f t="shared" si="26"/>
        <v>30</v>
      </c>
    </row>
    <row r="142" spans="18:24" x14ac:dyDescent="0.25">
      <c r="R142" s="57">
        <v>127</v>
      </c>
      <c r="T142" s="59">
        <f t="shared" ca="1" si="24"/>
        <v>-1772962.7205452253</v>
      </c>
      <c r="U142" s="60">
        <f t="shared" ca="1" si="21"/>
        <v>-8.8889243173423615</v>
      </c>
      <c r="V142" t="str">
        <f t="shared" si="25"/>
        <v/>
      </c>
      <c r="W142">
        <f t="shared" si="22"/>
        <v>3</v>
      </c>
      <c r="X142">
        <f t="shared" si="26"/>
        <v>31</v>
      </c>
    </row>
    <row r="143" spans="18:24" x14ac:dyDescent="0.25">
      <c r="R143" s="57">
        <v>128</v>
      </c>
      <c r="T143" s="59">
        <f t="shared" ca="1" si="24"/>
        <v>-913700.56111726339</v>
      </c>
      <c r="U143" s="60">
        <f t="shared" ca="1" si="21"/>
        <v>-4.5809283197939799</v>
      </c>
      <c r="V143">
        <f t="shared" si="25"/>
        <v>32</v>
      </c>
      <c r="W143">
        <f t="shared" si="22"/>
        <v>0</v>
      </c>
      <c r="X143">
        <f t="shared" si="26"/>
        <v>0</v>
      </c>
    </row>
    <row r="144" spans="18:24" x14ac:dyDescent="0.25">
      <c r="R144" s="57">
        <v>129</v>
      </c>
      <c r="T144" s="59">
        <f t="shared" ca="1" si="24"/>
        <v>-954438.40168930159</v>
      </c>
      <c r="U144" s="60">
        <f t="shared" ca="1" si="21"/>
        <v>-4.7851715210190164</v>
      </c>
      <c r="V144" t="str">
        <f t="shared" si="25"/>
        <v/>
      </c>
      <c r="W144">
        <f t="shared" si="22"/>
        <v>1</v>
      </c>
      <c r="X144">
        <f t="shared" si="26"/>
        <v>1</v>
      </c>
    </row>
    <row r="145" spans="18:24" x14ac:dyDescent="0.25">
      <c r="R145" s="57">
        <v>130</v>
      </c>
      <c r="T145" s="59">
        <f t="shared" ca="1" si="24"/>
        <v>-995176.24226133979</v>
      </c>
      <c r="U145" s="60">
        <f t="shared" ref="U145:U159" ca="1" si="27">T145/$O$3</f>
        <v>-4.989414722244053</v>
      </c>
      <c r="V145" t="str">
        <f t="shared" si="25"/>
        <v/>
      </c>
      <c r="W145">
        <f t="shared" ref="W145:W159" si="28">MOD(R145,4)</f>
        <v>2</v>
      </c>
      <c r="X145">
        <f t="shared" si="26"/>
        <v>2</v>
      </c>
    </row>
    <row r="146" spans="18:24" x14ac:dyDescent="0.25">
      <c r="R146" s="57">
        <v>131</v>
      </c>
      <c r="T146" s="59">
        <f t="shared" ref="T146:T159" ca="1" si="29">IF(AND(T145&gt;0,W146=0),T145*(IF(SUM($R$3,0.01*$M$3)&gt;0.99,0.99,$R$3+0.01*$M$3)),T145)+((($Q$3+$Q$3*$S$3)/4)+(IF(X146=0,$P$3*_xlfn.IFS(Y146="НЕУРОЖАЙ",0.25,Y146="ОБЫЧНЫЙ",1,Y146="РЕКОРД",1.25,Y146="",1),0)))-($O$3/4)</f>
        <v>-1035914.082833378</v>
      </c>
      <c r="U146" s="60">
        <f t="shared" ca="1" si="27"/>
        <v>-5.1936579234690896</v>
      </c>
      <c r="V146" t="str">
        <f t="shared" si="25"/>
        <v/>
      </c>
      <c r="W146">
        <f t="shared" si="28"/>
        <v>3</v>
      </c>
      <c r="X146">
        <f t="shared" si="26"/>
        <v>3</v>
      </c>
    </row>
    <row r="147" spans="18:24" x14ac:dyDescent="0.25">
      <c r="R147" s="57">
        <v>132</v>
      </c>
      <c r="T147" s="59">
        <f t="shared" ca="1" si="29"/>
        <v>-1076651.9234054163</v>
      </c>
      <c r="U147" s="60">
        <f t="shared" ca="1" si="27"/>
        <v>-5.3979011246941271</v>
      </c>
      <c r="V147">
        <f t="shared" si="25"/>
        <v>33</v>
      </c>
      <c r="W147">
        <f t="shared" si="28"/>
        <v>0</v>
      </c>
      <c r="X147">
        <f t="shared" si="26"/>
        <v>4</v>
      </c>
    </row>
    <row r="148" spans="18:24" x14ac:dyDescent="0.25">
      <c r="R148" s="57">
        <v>133</v>
      </c>
      <c r="T148" s="59">
        <f t="shared" ca="1" si="29"/>
        <v>-1117389.7639774545</v>
      </c>
      <c r="U148" s="60">
        <f t="shared" ca="1" si="27"/>
        <v>-5.6021443259191628</v>
      </c>
      <c r="V148" t="str">
        <f t="shared" ref="V148:V159" si="30">IF(W148=0,V144+1,"")</f>
        <v/>
      </c>
      <c r="W148">
        <f t="shared" si="28"/>
        <v>1</v>
      </c>
      <c r="X148">
        <f t="shared" si="26"/>
        <v>5</v>
      </c>
    </row>
    <row r="149" spans="18:24" x14ac:dyDescent="0.25">
      <c r="R149" s="57">
        <v>134</v>
      </c>
      <c r="T149" s="59">
        <f t="shared" ca="1" si="29"/>
        <v>-1158127.6045494927</v>
      </c>
      <c r="U149" s="60">
        <f t="shared" ca="1" si="27"/>
        <v>-5.8063875271441994</v>
      </c>
      <c r="V149" t="str">
        <f t="shared" si="30"/>
        <v/>
      </c>
      <c r="W149">
        <f t="shared" si="28"/>
        <v>2</v>
      </c>
      <c r="X149">
        <f t="shared" si="26"/>
        <v>6</v>
      </c>
    </row>
    <row r="150" spans="18:24" x14ac:dyDescent="0.25">
      <c r="R150" s="57">
        <v>135</v>
      </c>
      <c r="T150" s="59">
        <f t="shared" ca="1" si="29"/>
        <v>-1198865.4451215309</v>
      </c>
      <c r="U150" s="60">
        <f t="shared" ca="1" si="27"/>
        <v>-6.010630728369236</v>
      </c>
      <c r="V150" t="str">
        <f t="shared" si="30"/>
        <v/>
      </c>
      <c r="W150">
        <f t="shared" si="28"/>
        <v>3</v>
      </c>
      <c r="X150">
        <f t="shared" si="26"/>
        <v>7</v>
      </c>
    </row>
    <row r="151" spans="18:24" x14ac:dyDescent="0.25">
      <c r="R151" s="57">
        <v>136</v>
      </c>
      <c r="T151" s="59">
        <f t="shared" ca="1" si="29"/>
        <v>-1239603.2856935691</v>
      </c>
      <c r="U151" s="60">
        <f t="shared" ca="1" si="27"/>
        <v>-6.2148739295942725</v>
      </c>
      <c r="V151">
        <f t="shared" si="30"/>
        <v>34</v>
      </c>
      <c r="W151">
        <f t="shared" si="28"/>
        <v>0</v>
      </c>
      <c r="X151">
        <f t="shared" si="26"/>
        <v>8</v>
      </c>
    </row>
    <row r="152" spans="18:24" x14ac:dyDescent="0.25">
      <c r="R152" s="57">
        <v>137</v>
      </c>
      <c r="T152" s="59">
        <f t="shared" ca="1" si="29"/>
        <v>-1280341.1262656073</v>
      </c>
      <c r="U152" s="60">
        <f t="shared" ca="1" si="27"/>
        <v>-6.4191171308193091</v>
      </c>
      <c r="V152" t="str">
        <f t="shared" si="30"/>
        <v/>
      </c>
      <c r="W152">
        <f t="shared" si="28"/>
        <v>1</v>
      </c>
      <c r="X152">
        <f t="shared" si="26"/>
        <v>9</v>
      </c>
    </row>
    <row r="153" spans="18:24" x14ac:dyDescent="0.25">
      <c r="R153" s="57">
        <v>138</v>
      </c>
      <c r="T153" s="59">
        <f t="shared" ca="1" si="29"/>
        <v>-1321078.9668376455</v>
      </c>
      <c r="U153" s="60">
        <f t="shared" ca="1" si="27"/>
        <v>-6.6233603320443457</v>
      </c>
      <c r="V153" t="str">
        <f t="shared" si="30"/>
        <v/>
      </c>
      <c r="W153">
        <f t="shared" si="28"/>
        <v>2</v>
      </c>
      <c r="X153">
        <f t="shared" si="26"/>
        <v>10</v>
      </c>
    </row>
    <row r="154" spans="18:24" x14ac:dyDescent="0.25">
      <c r="R154" s="57">
        <v>139</v>
      </c>
      <c r="T154" s="59">
        <f t="shared" ca="1" si="29"/>
        <v>-1361816.8074096837</v>
      </c>
      <c r="U154" s="60">
        <f t="shared" ca="1" si="27"/>
        <v>-6.8276035332693823</v>
      </c>
      <c r="V154" t="str">
        <f t="shared" si="30"/>
        <v/>
      </c>
      <c r="W154">
        <f t="shared" si="28"/>
        <v>3</v>
      </c>
      <c r="X154">
        <f t="shared" si="26"/>
        <v>11</v>
      </c>
    </row>
    <row r="155" spans="18:24" x14ac:dyDescent="0.25">
      <c r="R155" s="57">
        <v>140</v>
      </c>
      <c r="T155" s="59">
        <f t="shared" ca="1" si="29"/>
        <v>-1402554.6479817219</v>
      </c>
      <c r="U155" s="60">
        <f t="shared" ca="1" si="27"/>
        <v>-7.0318467344944189</v>
      </c>
      <c r="V155">
        <f t="shared" si="30"/>
        <v>35</v>
      </c>
      <c r="W155">
        <f t="shared" si="28"/>
        <v>0</v>
      </c>
      <c r="X155">
        <f t="shared" si="26"/>
        <v>12</v>
      </c>
    </row>
    <row r="156" spans="18:24" x14ac:dyDescent="0.25">
      <c r="R156" s="57">
        <v>141</v>
      </c>
      <c r="T156" s="59">
        <f t="shared" ca="1" si="29"/>
        <v>-1443292.4885537601</v>
      </c>
      <c r="U156" s="60">
        <f t="shared" ca="1" si="27"/>
        <v>-7.2360899357194555</v>
      </c>
      <c r="V156" t="str">
        <f t="shared" si="30"/>
        <v/>
      </c>
      <c r="W156">
        <f t="shared" si="28"/>
        <v>1</v>
      </c>
      <c r="X156">
        <f t="shared" si="26"/>
        <v>13</v>
      </c>
    </row>
    <row r="157" spans="18:24" x14ac:dyDescent="0.25">
      <c r="R157" s="57">
        <v>142</v>
      </c>
      <c r="T157" s="59">
        <f t="shared" ca="1" si="29"/>
        <v>-1484030.3291257983</v>
      </c>
      <c r="U157" s="60">
        <f t="shared" ca="1" si="27"/>
        <v>-7.4403331369444921</v>
      </c>
      <c r="V157" t="str">
        <f t="shared" si="30"/>
        <v/>
      </c>
      <c r="W157">
        <f t="shared" si="28"/>
        <v>2</v>
      </c>
      <c r="X157">
        <f t="shared" si="26"/>
        <v>14</v>
      </c>
    </row>
    <row r="158" spans="18:24" x14ac:dyDescent="0.25">
      <c r="R158" s="57">
        <v>143</v>
      </c>
      <c r="T158" s="59">
        <f t="shared" ca="1" si="29"/>
        <v>-1524768.1696978365</v>
      </c>
      <c r="U158" s="60">
        <f t="shared" ca="1" si="27"/>
        <v>-7.6445763381695278</v>
      </c>
      <c r="V158" t="str">
        <f t="shared" si="30"/>
        <v/>
      </c>
      <c r="W158">
        <f t="shared" si="28"/>
        <v>3</v>
      </c>
      <c r="X158">
        <f t="shared" si="26"/>
        <v>15</v>
      </c>
    </row>
    <row r="159" spans="18:24" x14ac:dyDescent="0.25">
      <c r="R159" s="57">
        <v>144</v>
      </c>
      <c r="T159" s="59">
        <f t="shared" ca="1" si="29"/>
        <v>-1565506.0102698747</v>
      </c>
      <c r="U159" s="60">
        <f t="shared" ca="1" si="27"/>
        <v>-7.8488195393945643</v>
      </c>
      <c r="V159">
        <f t="shared" si="30"/>
        <v>36</v>
      </c>
      <c r="W159">
        <f t="shared" si="28"/>
        <v>0</v>
      </c>
      <c r="X159">
        <f t="shared" si="26"/>
        <v>16</v>
      </c>
    </row>
  </sheetData>
  <mergeCells count="6">
    <mergeCell ref="F1:I1"/>
    <mergeCell ref="E1:E2"/>
    <mergeCell ref="B1:B2"/>
    <mergeCell ref="A1:A2"/>
    <mergeCell ref="D1:D2"/>
    <mergeCell ref="C1:C2"/>
  </mergeCells>
  <conditionalFormatting sqref="G16:G63">
    <cfRule type="cellIs" dxfId="10" priority="5" operator="greaterThan">
      <formula>0</formula>
    </cfRule>
    <cfRule type="cellIs" dxfId="9" priority="6" operator="lessThan">
      <formula>0</formula>
    </cfRule>
  </conditionalFormatting>
  <conditionalFormatting sqref="T16:T159">
    <cfRule type="cellIs" dxfId="8" priority="1" operator="greaterThan">
      <formula>0</formula>
    </cfRule>
    <cfRule type="cellIs" dxfId="7" priority="2" operator="lessThan">
      <formula>0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F453FA9D-DC0F-497B-B64F-0195ADDED87D}">
          <x14:formula1>
            <xm:f>Список!$A$1:$A$10</xm:f>
          </x14:formula1>
          <xm:sqref>L3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4EA19-B490-438E-9BCC-A522DD820C42}">
  <sheetPr codeName="Лист3"/>
  <dimension ref="A1:AA21"/>
  <sheetViews>
    <sheetView zoomScale="115" zoomScaleNormal="115" workbookViewId="0">
      <pane xSplit="1" topLeftCell="B1" activePane="topRight" state="frozen"/>
      <selection pane="topRight" activeCell="J4" sqref="J4"/>
    </sheetView>
  </sheetViews>
  <sheetFormatPr defaultRowHeight="15" x14ac:dyDescent="0.25"/>
  <cols>
    <col min="1" max="1" width="14" customWidth="1"/>
    <col min="2" max="2" width="7.85546875" customWidth="1"/>
    <col min="3" max="3" width="7.5703125" customWidth="1"/>
    <col min="4" max="4" width="7" customWidth="1"/>
    <col min="5" max="5" width="9" bestFit="1" customWidth="1"/>
    <col min="6" max="6" width="6.42578125" bestFit="1" customWidth="1"/>
    <col min="7" max="7" width="7" bestFit="1" customWidth="1"/>
    <col min="8" max="8" width="7" customWidth="1"/>
    <col min="9" max="9" width="7.140625" bestFit="1" customWidth="1"/>
    <col min="10" max="10" width="5.7109375" bestFit="1" customWidth="1"/>
    <col min="11" max="11" width="10.42578125" customWidth="1"/>
    <col min="12" max="12" width="9.140625" bestFit="1" customWidth="1"/>
    <col min="13" max="13" width="5.28515625" bestFit="1" customWidth="1"/>
    <col min="14" max="14" width="4.85546875" bestFit="1" customWidth="1"/>
    <col min="15" max="15" width="6.85546875" customWidth="1"/>
    <col min="16" max="16" width="6.5703125" bestFit="1" customWidth="1"/>
    <col min="17" max="17" width="7.7109375" bestFit="1" customWidth="1"/>
    <col min="18" max="18" width="9.7109375" customWidth="1"/>
    <col min="19" max="19" width="7.5703125" customWidth="1"/>
    <col min="20" max="20" width="9.28515625" customWidth="1"/>
    <col min="21" max="21" width="10.28515625" customWidth="1"/>
    <col min="22" max="23" width="14.5703125" bestFit="1" customWidth="1"/>
    <col min="24" max="24" width="14.5703125" customWidth="1"/>
    <col min="25" max="25" width="11.85546875" customWidth="1"/>
    <col min="26" max="26" width="6" customWidth="1"/>
    <col min="27" max="27" width="7.42578125" bestFit="1" customWidth="1"/>
  </cols>
  <sheetData>
    <row r="1" spans="1:27" ht="15.75" customHeight="1" thickBot="1" x14ac:dyDescent="0.3">
      <c r="A1" s="173" t="s">
        <v>9</v>
      </c>
      <c r="B1" s="165" t="s">
        <v>65</v>
      </c>
      <c r="C1" s="170" t="s">
        <v>62</v>
      </c>
      <c r="D1" s="166" t="s">
        <v>63</v>
      </c>
      <c r="E1" s="175" t="s">
        <v>64</v>
      </c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/>
      <c r="S1" s="176"/>
      <c r="T1" s="176"/>
      <c r="U1" s="177"/>
      <c r="V1" s="165" t="s">
        <v>92</v>
      </c>
      <c r="W1" s="170"/>
      <c r="X1" s="170"/>
      <c r="Y1" s="166"/>
    </row>
    <row r="2" spans="1:27" ht="45.75" thickBot="1" x14ac:dyDescent="0.3">
      <c r="A2" s="174"/>
      <c r="B2" s="73" t="s">
        <v>69</v>
      </c>
      <c r="C2" s="72" t="s">
        <v>62</v>
      </c>
      <c r="D2" s="101" t="s">
        <v>63</v>
      </c>
      <c r="E2" s="52" t="s">
        <v>66</v>
      </c>
      <c r="F2" s="52" t="s">
        <v>67</v>
      </c>
      <c r="G2" s="52" t="s">
        <v>68</v>
      </c>
      <c r="H2" s="137" t="s">
        <v>104</v>
      </c>
      <c r="I2" s="52" t="s">
        <v>71</v>
      </c>
      <c r="J2" s="122" t="s">
        <v>72</v>
      </c>
      <c r="K2" s="52" t="s">
        <v>73</v>
      </c>
      <c r="L2" s="122" t="s">
        <v>74</v>
      </c>
      <c r="M2" s="52" t="s">
        <v>75</v>
      </c>
      <c r="N2" s="52" t="s">
        <v>76</v>
      </c>
      <c r="O2" s="52" t="s">
        <v>77</v>
      </c>
      <c r="P2" s="52" t="s">
        <v>78</v>
      </c>
      <c r="Q2" s="52" t="s">
        <v>79</v>
      </c>
      <c r="R2" s="52" t="s">
        <v>80</v>
      </c>
      <c r="S2" s="122" t="s">
        <v>81</v>
      </c>
      <c r="T2" s="52" t="s">
        <v>47</v>
      </c>
      <c r="U2" s="52" t="s">
        <v>90</v>
      </c>
      <c r="V2" s="52" t="s">
        <v>84</v>
      </c>
      <c r="W2" s="52" t="s">
        <v>83</v>
      </c>
      <c r="X2" s="102" t="s">
        <v>82</v>
      </c>
      <c r="Y2" s="102" t="s">
        <v>94</v>
      </c>
      <c r="AA2" s="135" t="s">
        <v>101</v>
      </c>
    </row>
    <row r="3" spans="1:27" ht="15.75" customHeight="1" x14ac:dyDescent="0.25">
      <c r="A3" s="90" t="s">
        <v>5</v>
      </c>
      <c r="B3" s="94">
        <v>1</v>
      </c>
      <c r="C3" s="95"/>
      <c r="D3" s="96"/>
      <c r="E3" s="117">
        <f>База!I3</f>
        <v>7</v>
      </c>
      <c r="F3" s="123">
        <f>База!J3</f>
        <v>7</v>
      </c>
      <c r="G3" s="96">
        <f>База!K3</f>
        <v>0</v>
      </c>
      <c r="H3" s="96">
        <f>База!M3</f>
        <v>1</v>
      </c>
      <c r="I3" s="123">
        <v>15</v>
      </c>
      <c r="J3" s="123">
        <v>3</v>
      </c>
      <c r="K3" s="123"/>
      <c r="L3" s="123"/>
      <c r="M3" s="123"/>
      <c r="N3" s="123"/>
      <c r="O3" s="123"/>
      <c r="P3" s="123"/>
      <c r="Q3" s="123"/>
      <c r="R3" s="123"/>
      <c r="S3" s="123"/>
      <c r="T3" s="118">
        <f>Провиант!B3</f>
        <v>3</v>
      </c>
      <c r="U3" s="118">
        <f>Провиант!C3</f>
        <v>3</v>
      </c>
      <c r="V3" s="121">
        <f>IF($AA$2=$AA$12,SUMPRODUCT(E3:U3,$E$12:$U$12),SUMPRODUCT(E3:U3,$E$13:$U$13))</f>
        <v>103.75</v>
      </c>
      <c r="W3" s="121">
        <f>IF($AA$2=$AA$12,SUMPRODUCT(B3:D3,$B$12:$D$12),SUMPRODUCT(B3:D3,$B$13:$D$13))</f>
        <v>60</v>
      </c>
      <c r="X3" s="123">
        <f>W3-V3</f>
        <v>-43.75</v>
      </c>
      <c r="Y3" s="128">
        <f>W3/V3</f>
        <v>0.57831325301204817</v>
      </c>
    </row>
    <row r="4" spans="1:27" x14ac:dyDescent="0.25">
      <c r="A4" s="91" t="s">
        <v>0</v>
      </c>
      <c r="B4" s="10">
        <v>3</v>
      </c>
      <c r="C4" s="2"/>
      <c r="D4" s="97"/>
      <c r="E4" s="83">
        <f>База!I4</f>
        <v>10</v>
      </c>
      <c r="F4" s="82">
        <f>База!J4</f>
        <v>13</v>
      </c>
      <c r="G4" s="97">
        <f>База!K4</f>
        <v>5</v>
      </c>
      <c r="H4" s="82">
        <f>База!M4</f>
        <v>4</v>
      </c>
      <c r="I4" s="82">
        <v>15</v>
      </c>
      <c r="J4" s="82">
        <v>11</v>
      </c>
      <c r="K4" s="82">
        <v>2</v>
      </c>
      <c r="L4" s="82">
        <v>10</v>
      </c>
      <c r="M4" s="82"/>
      <c r="N4" s="82"/>
      <c r="O4" s="82"/>
      <c r="P4" s="82"/>
      <c r="Q4" s="82"/>
      <c r="R4" s="82"/>
      <c r="S4" s="82"/>
      <c r="T4" s="124">
        <f>Провиант!B4</f>
        <v>5</v>
      </c>
      <c r="U4" s="124">
        <f>Провиант!C4</f>
        <v>10</v>
      </c>
      <c r="V4" s="124">
        <f t="shared" ref="V4:V11" si="0">IF($AA$2=$AA$12,SUMPRODUCT(E4:U4,$E$12:$U$12),SUMPRODUCT(E4:U4,$E$13:$U$13))</f>
        <v>226.25</v>
      </c>
      <c r="W4" s="124">
        <f t="shared" ref="W4:W11" si="1">IF($AA$2=$AA$12,SUMPRODUCT(B4:D4,$B$12:$D$12),SUMPRODUCT(B4:D4,$B$13:$D$13))</f>
        <v>180</v>
      </c>
      <c r="X4" s="82">
        <f t="shared" ref="X4:X11" si="2">W4-V4</f>
        <v>-46.25</v>
      </c>
      <c r="Y4" s="129">
        <f t="shared" ref="Y4:Y11" si="3">W4/V4</f>
        <v>0.79558011049723754</v>
      </c>
    </row>
    <row r="5" spans="1:27" x14ac:dyDescent="0.25">
      <c r="A5" s="92" t="s">
        <v>4</v>
      </c>
      <c r="B5" s="8">
        <v>2</v>
      </c>
      <c r="C5" s="4">
        <v>1</v>
      </c>
      <c r="D5" s="98"/>
      <c r="E5" s="85">
        <f>База!I5</f>
        <v>15</v>
      </c>
      <c r="F5" s="81">
        <f>База!J5</f>
        <v>7</v>
      </c>
      <c r="G5" s="98">
        <f>База!K5</f>
        <v>12</v>
      </c>
      <c r="H5" s="81">
        <f>База!M5</f>
        <v>5</v>
      </c>
      <c r="I5" s="81">
        <v>16</v>
      </c>
      <c r="J5" s="81">
        <v>4</v>
      </c>
      <c r="K5" s="81"/>
      <c r="L5" s="81">
        <v>16</v>
      </c>
      <c r="M5" s="81"/>
      <c r="N5" s="81"/>
      <c r="O5" s="81"/>
      <c r="P5" s="81"/>
      <c r="Q5" s="81"/>
      <c r="R5" s="81"/>
      <c r="S5" s="81"/>
      <c r="T5" s="121">
        <f>Провиант!B5</f>
        <v>8</v>
      </c>
      <c r="U5" s="121">
        <f>Провиант!C5</f>
        <v>8</v>
      </c>
      <c r="V5" s="121">
        <f t="shared" si="0"/>
        <v>256.5</v>
      </c>
      <c r="W5" s="121">
        <f t="shared" si="1"/>
        <v>270</v>
      </c>
      <c r="X5" s="81">
        <f t="shared" si="2"/>
        <v>13.5</v>
      </c>
      <c r="Y5" s="130">
        <f t="shared" si="3"/>
        <v>1.0526315789473684</v>
      </c>
    </row>
    <row r="6" spans="1:27" x14ac:dyDescent="0.25">
      <c r="A6" s="91" t="s">
        <v>1</v>
      </c>
      <c r="B6" s="10">
        <v>3</v>
      </c>
      <c r="C6" s="2"/>
      <c r="D6" s="97"/>
      <c r="E6" s="83">
        <f>База!I6</f>
        <v>12</v>
      </c>
      <c r="F6" s="82">
        <f>База!J6</f>
        <v>9</v>
      </c>
      <c r="G6" s="97">
        <f>База!K6</f>
        <v>3</v>
      </c>
      <c r="H6" s="82">
        <f>База!M6</f>
        <v>2</v>
      </c>
      <c r="I6" s="82">
        <v>30</v>
      </c>
      <c r="J6" s="82">
        <v>6</v>
      </c>
      <c r="K6" s="82"/>
      <c r="L6" s="82">
        <v>1</v>
      </c>
      <c r="M6" s="82"/>
      <c r="N6" s="82"/>
      <c r="O6" s="82"/>
      <c r="P6" s="82"/>
      <c r="Q6" s="82"/>
      <c r="R6" s="82"/>
      <c r="S6" s="82"/>
      <c r="T6" s="124">
        <f>Провиант!B6</f>
        <v>5</v>
      </c>
      <c r="U6" s="124">
        <f>Провиант!C6</f>
        <v>20</v>
      </c>
      <c r="V6" s="124">
        <f t="shared" si="0"/>
        <v>195.75</v>
      </c>
      <c r="W6" s="124">
        <f t="shared" si="1"/>
        <v>180</v>
      </c>
      <c r="X6" s="82">
        <f t="shared" si="2"/>
        <v>-15.75</v>
      </c>
      <c r="Y6" s="129">
        <f t="shared" si="3"/>
        <v>0.91954022988505746</v>
      </c>
    </row>
    <row r="7" spans="1:27" ht="30" x14ac:dyDescent="0.25">
      <c r="A7" s="92" t="s">
        <v>7</v>
      </c>
      <c r="B7" s="8">
        <v>3</v>
      </c>
      <c r="C7" s="4">
        <v>1</v>
      </c>
      <c r="D7" s="98"/>
      <c r="E7" s="85">
        <f>База!I7</f>
        <v>23</v>
      </c>
      <c r="F7" s="81">
        <f>База!J7</f>
        <v>12</v>
      </c>
      <c r="G7" s="98">
        <f>База!K7</f>
        <v>9</v>
      </c>
      <c r="H7" s="81">
        <f>База!M7</f>
        <v>5</v>
      </c>
      <c r="I7" s="81">
        <v>41</v>
      </c>
      <c r="J7" s="81">
        <v>5</v>
      </c>
      <c r="K7" s="81"/>
      <c r="L7" s="81">
        <v>7</v>
      </c>
      <c r="M7" s="81"/>
      <c r="N7" s="81"/>
      <c r="O7" s="81"/>
      <c r="P7" s="81"/>
      <c r="Q7" s="81"/>
      <c r="R7" s="81"/>
      <c r="S7" s="81"/>
      <c r="T7" s="121">
        <f>Провиант!B7</f>
        <v>10</v>
      </c>
      <c r="U7" s="121">
        <f>Провиант!C7</f>
        <v>15</v>
      </c>
      <c r="V7" s="121">
        <f t="shared" si="0"/>
        <v>332</v>
      </c>
      <c r="W7" s="121">
        <f t="shared" si="1"/>
        <v>330</v>
      </c>
      <c r="X7" s="81">
        <f t="shared" si="2"/>
        <v>-2</v>
      </c>
      <c r="Y7" s="130">
        <f t="shared" si="3"/>
        <v>0.99397590361445787</v>
      </c>
    </row>
    <row r="8" spans="1:27" x14ac:dyDescent="0.25">
      <c r="A8" s="91" t="s">
        <v>2</v>
      </c>
      <c r="B8" s="10">
        <v>1</v>
      </c>
      <c r="C8" s="2">
        <v>2</v>
      </c>
      <c r="D8" s="97"/>
      <c r="E8" s="83">
        <f>База!I8</f>
        <v>20</v>
      </c>
      <c r="F8" s="82">
        <f>База!J8</f>
        <v>14</v>
      </c>
      <c r="G8" s="97">
        <f>База!K8</f>
        <v>7</v>
      </c>
      <c r="H8" s="82">
        <f>База!M8</f>
        <v>6</v>
      </c>
      <c r="I8" s="82">
        <v>44</v>
      </c>
      <c r="J8" s="82">
        <v>8</v>
      </c>
      <c r="K8" s="82"/>
      <c r="L8" s="82">
        <v>7</v>
      </c>
      <c r="M8" s="82"/>
      <c r="N8" s="82"/>
      <c r="O8" s="82"/>
      <c r="P8" s="82"/>
      <c r="Q8" s="82"/>
      <c r="R8" s="82"/>
      <c r="S8" s="82"/>
      <c r="T8" s="124">
        <f>Провиант!B8</f>
        <v>6</v>
      </c>
      <c r="U8" s="124">
        <f>Провиант!C8</f>
        <v>23</v>
      </c>
      <c r="V8" s="124">
        <f t="shared" si="0"/>
        <v>330.5</v>
      </c>
      <c r="W8" s="124">
        <f t="shared" si="1"/>
        <v>360</v>
      </c>
      <c r="X8" s="82">
        <f t="shared" si="2"/>
        <v>29.5</v>
      </c>
      <c r="Y8" s="129">
        <f t="shared" si="3"/>
        <v>1.0892586989409985</v>
      </c>
    </row>
    <row r="9" spans="1:27" x14ac:dyDescent="0.25">
      <c r="A9" s="92" t="s">
        <v>6</v>
      </c>
      <c r="B9" s="8">
        <v>2</v>
      </c>
      <c r="C9" s="4"/>
      <c r="D9" s="98"/>
      <c r="E9" s="85">
        <f>База!I9</f>
        <v>6</v>
      </c>
      <c r="F9" s="81">
        <f>База!J9</f>
        <v>6</v>
      </c>
      <c r="G9" s="98">
        <f>База!K9</f>
        <v>0</v>
      </c>
      <c r="H9" s="81">
        <f>База!M9</f>
        <v>1</v>
      </c>
      <c r="I9" s="81">
        <v>7</v>
      </c>
      <c r="J9" s="81">
        <v>4</v>
      </c>
      <c r="K9" s="81"/>
      <c r="L9" s="81"/>
      <c r="M9" s="81"/>
      <c r="N9" s="81"/>
      <c r="O9" s="81"/>
      <c r="P9" s="81"/>
      <c r="Q9" s="81"/>
      <c r="R9" s="81"/>
      <c r="S9" s="81"/>
      <c r="T9" s="121">
        <f>Провиант!B9</f>
        <v>4</v>
      </c>
      <c r="U9" s="121">
        <f>Провиант!C9</f>
        <v>4</v>
      </c>
      <c r="V9" s="121">
        <f t="shared" si="0"/>
        <v>87.5</v>
      </c>
      <c r="W9" s="121">
        <f t="shared" si="1"/>
        <v>120</v>
      </c>
      <c r="X9" s="81">
        <f t="shared" si="2"/>
        <v>32.5</v>
      </c>
      <c r="Y9" s="130">
        <f t="shared" si="3"/>
        <v>1.3714285714285714</v>
      </c>
    </row>
    <row r="10" spans="1:27" x14ac:dyDescent="0.25">
      <c r="A10" s="91" t="s">
        <v>8</v>
      </c>
      <c r="B10" s="10">
        <v>1</v>
      </c>
      <c r="C10" s="2"/>
      <c r="D10" s="97"/>
      <c r="E10" s="83">
        <f>База!I10</f>
        <v>3</v>
      </c>
      <c r="F10" s="82">
        <f>База!J10</f>
        <v>2</v>
      </c>
      <c r="G10" s="97">
        <f>База!K10</f>
        <v>1</v>
      </c>
      <c r="H10" s="82">
        <f>База!M10</f>
        <v>0</v>
      </c>
      <c r="I10" s="82"/>
      <c r="J10" s="82"/>
      <c r="K10" s="82"/>
      <c r="L10" s="82"/>
      <c r="M10" s="82"/>
      <c r="N10" s="82"/>
      <c r="O10" s="82"/>
      <c r="P10" s="82"/>
      <c r="Q10" s="82"/>
      <c r="R10" s="82"/>
      <c r="S10" s="82"/>
      <c r="T10" s="124">
        <f>Провиант!B10</f>
        <v>3</v>
      </c>
      <c r="U10" s="124">
        <f>Провиант!C10</f>
        <v>7</v>
      </c>
      <c r="V10" s="124">
        <f t="shared" si="0"/>
        <v>38.25</v>
      </c>
      <c r="W10" s="124">
        <f t="shared" si="1"/>
        <v>60</v>
      </c>
      <c r="X10" s="82">
        <f t="shared" si="2"/>
        <v>21.75</v>
      </c>
      <c r="Y10" s="129">
        <f t="shared" si="3"/>
        <v>1.5686274509803921</v>
      </c>
    </row>
    <row r="11" spans="1:27" ht="15.75" thickBot="1" x14ac:dyDescent="0.3">
      <c r="A11" s="93" t="s">
        <v>3</v>
      </c>
      <c r="B11" s="12">
        <v>1</v>
      </c>
      <c r="C11" s="13"/>
      <c r="D11" s="99"/>
      <c r="E11" s="86">
        <f>База!I11</f>
        <v>3</v>
      </c>
      <c r="F11" s="89">
        <f>База!J11</f>
        <v>2</v>
      </c>
      <c r="G11" s="99">
        <f>База!K11</f>
        <v>0</v>
      </c>
      <c r="H11" s="99">
        <f>База!M11</f>
        <v>0</v>
      </c>
      <c r="I11" s="89">
        <v>4</v>
      </c>
      <c r="J11" s="89"/>
      <c r="K11" s="89"/>
      <c r="L11" s="89"/>
      <c r="M11" s="89"/>
      <c r="N11" s="89"/>
      <c r="O11" s="89"/>
      <c r="P11" s="89"/>
      <c r="Q11" s="89"/>
      <c r="R11" s="89"/>
      <c r="S11" s="89"/>
      <c r="T11" s="125">
        <f>Провиант!B11</f>
        <v>15</v>
      </c>
      <c r="U11" s="125">
        <f>Провиант!C11</f>
        <v>20</v>
      </c>
      <c r="V11" s="125">
        <f t="shared" si="0"/>
        <v>44.75</v>
      </c>
      <c r="W11" s="125">
        <f t="shared" si="1"/>
        <v>60</v>
      </c>
      <c r="X11" s="89">
        <f t="shared" si="2"/>
        <v>15.25</v>
      </c>
      <c r="Y11" s="131">
        <f t="shared" si="3"/>
        <v>1.3407821229050279</v>
      </c>
    </row>
    <row r="12" spans="1:27" x14ac:dyDescent="0.25">
      <c r="A12" s="136" t="s">
        <v>70</v>
      </c>
      <c r="B12" s="136">
        <v>60</v>
      </c>
      <c r="C12" s="136">
        <v>150</v>
      </c>
      <c r="D12" s="136">
        <v>500</v>
      </c>
      <c r="E12" s="136">
        <v>5</v>
      </c>
      <c r="F12" s="136">
        <v>6</v>
      </c>
      <c r="G12" s="136">
        <v>7</v>
      </c>
      <c r="H12" s="139">
        <v>3.5</v>
      </c>
      <c r="I12" s="136">
        <v>1</v>
      </c>
      <c r="J12" s="136">
        <v>2</v>
      </c>
      <c r="K12" s="136">
        <v>0.5</v>
      </c>
      <c r="L12" s="136">
        <v>0.5</v>
      </c>
      <c r="M12" s="136">
        <v>0.5</v>
      </c>
      <c r="N12" s="136">
        <v>4</v>
      </c>
      <c r="O12" s="136">
        <v>0.5</v>
      </c>
      <c r="P12" s="136">
        <v>1.5</v>
      </c>
      <c r="Q12" s="136">
        <v>1.5</v>
      </c>
      <c r="R12" s="136">
        <v>15</v>
      </c>
      <c r="S12" s="136">
        <v>0.1</v>
      </c>
      <c r="T12" s="136">
        <v>0.25</v>
      </c>
      <c r="U12" s="136">
        <v>0.5</v>
      </c>
      <c r="V12" s="57"/>
      <c r="W12" s="59"/>
      <c r="X12" s="45">
        <f>SUM(X3:X11)</f>
        <v>4.75</v>
      </c>
      <c r="Y12" s="100"/>
      <c r="AA12" t="s">
        <v>101</v>
      </c>
    </row>
    <row r="13" spans="1:27" x14ac:dyDescent="0.25">
      <c r="B13" s="57"/>
      <c r="C13" s="57"/>
      <c r="D13" s="57"/>
      <c r="E13" s="57"/>
      <c r="F13" s="57"/>
      <c r="G13" s="57"/>
      <c r="H13" s="57"/>
      <c r="I13" s="57"/>
      <c r="J13" s="57"/>
      <c r="K13" s="57"/>
      <c r="L13" s="57"/>
      <c r="M13" s="57"/>
      <c r="N13" s="57"/>
      <c r="O13" s="57"/>
      <c r="P13" s="57"/>
      <c r="Q13" s="57"/>
      <c r="R13" s="57"/>
      <c r="S13" s="57"/>
      <c r="T13" s="57"/>
      <c r="U13" s="57"/>
      <c r="AA13" t="s">
        <v>102</v>
      </c>
    </row>
    <row r="15" spans="1:27" x14ac:dyDescent="0.25">
      <c r="V15" t="s">
        <v>95</v>
      </c>
      <c r="Y15" s="127">
        <f>IF($Y$3&lt;1,(1-$Y$3)*-1,"")</f>
        <v>-0.42168674698795183</v>
      </c>
    </row>
    <row r="16" spans="1:27" x14ac:dyDescent="0.25">
      <c r="V16" t="s">
        <v>85</v>
      </c>
      <c r="Y16" s="127">
        <f t="shared" ref="Y16:Y20" si="4">IF($Y$3&lt;1,(1-$Y$3)*-1,"")</f>
        <v>-0.42168674698795183</v>
      </c>
    </row>
    <row r="17" spans="22:25" x14ac:dyDescent="0.25">
      <c r="V17" t="s">
        <v>86</v>
      </c>
      <c r="Y17" s="127">
        <f t="shared" si="4"/>
        <v>-0.42168674698795183</v>
      </c>
    </row>
    <row r="18" spans="22:25" x14ac:dyDescent="0.25">
      <c r="V18" t="s">
        <v>87</v>
      </c>
      <c r="Y18" s="127">
        <f t="shared" si="4"/>
        <v>-0.42168674698795183</v>
      </c>
    </row>
    <row r="19" spans="22:25" x14ac:dyDescent="0.25">
      <c r="V19" t="s">
        <v>88</v>
      </c>
      <c r="Y19" s="127">
        <f t="shared" si="4"/>
        <v>-0.42168674698795183</v>
      </c>
    </row>
    <row r="20" spans="22:25" x14ac:dyDescent="0.25">
      <c r="V20" t="s">
        <v>89</v>
      </c>
      <c r="Y20" s="127">
        <f t="shared" si="4"/>
        <v>-0.42168674698795183</v>
      </c>
    </row>
    <row r="21" spans="22:25" x14ac:dyDescent="0.25">
      <c r="V21" t="s">
        <v>96</v>
      </c>
      <c r="Y21" s="127">
        <f>IF($Y$3&lt;1,(1-$Y$3)*-0.5,"")</f>
        <v>-0.21084337349397592</v>
      </c>
    </row>
  </sheetData>
  <mergeCells count="4">
    <mergeCell ref="A1:A2"/>
    <mergeCell ref="B1:D1"/>
    <mergeCell ref="V1:Y1"/>
    <mergeCell ref="E1:U1"/>
  </mergeCells>
  <conditionalFormatting sqref="X3:X11">
    <cfRule type="cellIs" dxfId="6" priority="1" operator="lessThan">
      <formula>0</formula>
    </cfRule>
    <cfRule type="cellIs" dxfId="5" priority="2" operator="greaterThan">
      <formula>0</formula>
    </cfRule>
  </conditionalFormatting>
  <dataValidations disablePrompts="1" count="1">
    <dataValidation type="list" allowBlank="1" showInputMessage="1" showErrorMessage="1" sqref="AA2" xr:uid="{CF468174-D99B-46DA-AFEB-8821176AE034}">
      <formula1>электричество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17766-DFDA-4C0E-8F03-895D26D1386A}">
  <sheetPr codeName="Лист4"/>
  <dimension ref="A1:H113"/>
  <sheetViews>
    <sheetView workbookViewId="0">
      <selection activeCell="B26" sqref="B26"/>
    </sheetView>
  </sheetViews>
  <sheetFormatPr defaultRowHeight="15" x14ac:dyDescent="0.25"/>
  <cols>
    <col min="1" max="1" width="4.42578125" bestFit="1" customWidth="1"/>
    <col min="2" max="2" width="16" style="51" bestFit="1" customWidth="1"/>
    <col min="3" max="3" width="14" customWidth="1"/>
    <col min="4" max="4" width="19.140625" customWidth="1"/>
    <col min="5" max="5" width="14" bestFit="1" customWidth="1"/>
    <col min="6" max="6" width="12.85546875" bestFit="1" customWidth="1"/>
    <col min="7" max="7" width="11.28515625" customWidth="1"/>
  </cols>
  <sheetData>
    <row r="1" spans="1:8" x14ac:dyDescent="0.25">
      <c r="A1" s="47">
        <v>1</v>
      </c>
      <c r="B1" s="181">
        <f ca="1">IF(A1&gt;0,D1*$E$1,"")</f>
        <v>1719884.3999195173</v>
      </c>
      <c r="C1" s="140">
        <f ca="1">IF(A1&gt;0,RAND(),"")</f>
        <v>0.35459597009318644</v>
      </c>
      <c r="D1" s="141">
        <f ca="1">IF(A1&gt;0,C1/SUM($C$1:$C$100),"")</f>
        <v>2.2724127108860039E-2</v>
      </c>
      <c r="E1" s="75">
        <v>75685389</v>
      </c>
      <c r="F1" s="179">
        <f>E1/COUNT(A:A)*(1-COUNT(A:A)/(COUNT(A:A)*2.5*(1-COUNT(A:A)*0.01)))</f>
        <v>1337475.6891891891</v>
      </c>
      <c r="G1" s="178">
        <f>1-COUNT(A:A)/60</f>
        <v>0.56666666666666665</v>
      </c>
      <c r="H1" t="s">
        <v>105</v>
      </c>
    </row>
    <row r="2" spans="1:8" x14ac:dyDescent="0.25">
      <c r="A2" s="47">
        <v>2</v>
      </c>
      <c r="B2" s="181">
        <f t="shared" ref="B2:B65" ca="1" si="0">IF(A2&gt;0,D2*$E$1,"")</f>
        <v>3499313.2801989145</v>
      </c>
      <c r="C2" s="140">
        <f t="shared" ref="C2:C65" ca="1" si="1">IF(A2&gt;0,RAND(),"")</f>
        <v>0.72146848201551805</v>
      </c>
      <c r="D2" s="141">
        <f t="shared" ref="D2:D65" ca="1" si="2">IF(A2&gt;0,C2/SUM($C$1:$C$100),"")</f>
        <v>4.6234991012583875E-2</v>
      </c>
      <c r="E2" s="44">
        <f ca="1">SUM(B:B)</f>
        <v>75685388.99999997</v>
      </c>
      <c r="F2" s="44">
        <f>E1/COUNT(A:A)</f>
        <v>2910976.5</v>
      </c>
      <c r="G2" s="44">
        <f>F2*G1</f>
        <v>1649553.3499999999</v>
      </c>
      <c r="H2">
        <v>1443</v>
      </c>
    </row>
    <row r="3" spans="1:8" x14ac:dyDescent="0.25">
      <c r="A3" s="47">
        <v>3</v>
      </c>
      <c r="B3" s="181">
        <f t="shared" ca="1" si="0"/>
        <v>2080207.9335870848</v>
      </c>
      <c r="C3" s="140">
        <f t="shared" ca="1" si="1"/>
        <v>0.42888542406709018</v>
      </c>
      <c r="D3" s="141">
        <f t="shared" ca="1" si="2"/>
        <v>2.748493416063548E-2</v>
      </c>
      <c r="E3" s="44">
        <f ca="1">E1-E2</f>
        <v>0</v>
      </c>
      <c r="G3" s="147">
        <f>1-COUNT(A:A)/(COUNT(A:A)*2.5*(1-COUNT(A:A)*0.01))</f>
        <v>0.45945945945945943</v>
      </c>
    </row>
    <row r="4" spans="1:8" x14ac:dyDescent="0.25">
      <c r="A4" s="47">
        <v>4</v>
      </c>
      <c r="B4" s="181">
        <f t="shared" ca="1" si="0"/>
        <v>3908642.1435013204</v>
      </c>
      <c r="C4" s="140">
        <f t="shared" ca="1" si="1"/>
        <v>0.80586157574707939</v>
      </c>
      <c r="D4" s="141">
        <f t="shared" ca="1" si="2"/>
        <v>5.1643285383673201E-2</v>
      </c>
    </row>
    <row r="5" spans="1:8" x14ac:dyDescent="0.25">
      <c r="A5" s="47">
        <v>5</v>
      </c>
      <c r="B5" s="181">
        <f t="shared" ca="1" si="0"/>
        <v>3335963.8706999179</v>
      </c>
      <c r="C5" s="140">
        <f t="shared" ca="1" si="1"/>
        <v>0.6877900311102384</v>
      </c>
      <c r="D5" s="141">
        <f t="shared" ca="1" si="2"/>
        <v>4.4076722268018176E-2</v>
      </c>
      <c r="E5" s="149">
        <f ca="1">SUM(D1:D100)</f>
        <v>1.0000000000000002</v>
      </c>
      <c r="F5" s="44">
        <f ca="1">MIN(B:B)</f>
        <v>1447148.2124853705</v>
      </c>
    </row>
    <row r="6" spans="1:8" x14ac:dyDescent="0.25">
      <c r="A6" s="47">
        <v>6</v>
      </c>
      <c r="B6" s="181">
        <f t="shared" ca="1" si="0"/>
        <v>2201454.3712769444</v>
      </c>
      <c r="C6" s="140">
        <f t="shared" ca="1" si="1"/>
        <v>0.45388332403931553</v>
      </c>
      <c r="D6" s="141">
        <f t="shared" ca="1" si="2"/>
        <v>2.9086913608608718E-2</v>
      </c>
      <c r="F6" s="44">
        <f ca="1">MAX(B:B)</f>
        <v>4700024.1646995684</v>
      </c>
    </row>
    <row r="7" spans="1:8" x14ac:dyDescent="0.25">
      <c r="A7" s="47">
        <v>7</v>
      </c>
      <c r="B7" s="181">
        <f t="shared" ca="1" si="0"/>
        <v>2897634.5060712076</v>
      </c>
      <c r="C7" s="140">
        <f t="shared" ca="1" si="1"/>
        <v>0.59741777918556205</v>
      </c>
      <c r="D7" s="141">
        <f t="shared" ca="1" si="2"/>
        <v>3.828525616841591E-2</v>
      </c>
      <c r="E7" s="147"/>
    </row>
    <row r="8" spans="1:8" x14ac:dyDescent="0.25">
      <c r="A8" s="47">
        <v>8</v>
      </c>
      <c r="B8" s="181">
        <f t="shared" ca="1" si="0"/>
        <v>1574289.0325910889</v>
      </c>
      <c r="C8" s="140">
        <f t="shared" ca="1" si="1"/>
        <v>0.32457794648571969</v>
      </c>
      <c r="D8" s="141">
        <f t="shared" ca="1" si="2"/>
        <v>2.0800435241088461E-2</v>
      </c>
    </row>
    <row r="9" spans="1:8" x14ac:dyDescent="0.25">
      <c r="A9" s="47">
        <v>9</v>
      </c>
      <c r="B9" s="181">
        <f t="shared" ca="1" si="0"/>
        <v>4700024.1646995684</v>
      </c>
      <c r="C9" s="140">
        <f t="shared" ca="1" si="1"/>
        <v>0.96902421361636371</v>
      </c>
      <c r="D9" s="141">
        <f t="shared" ca="1" si="2"/>
        <v>6.2099491418344546E-2</v>
      </c>
    </row>
    <row r="10" spans="1:8" x14ac:dyDescent="0.25">
      <c r="A10" s="47">
        <v>10</v>
      </c>
      <c r="B10" s="181">
        <f t="shared" ca="1" si="0"/>
        <v>2758548.5451288568</v>
      </c>
      <c r="C10" s="140">
        <f t="shared" ca="1" si="1"/>
        <v>0.56874182791290451</v>
      </c>
      <c r="D10" s="141">
        <f t="shared" ca="1" si="2"/>
        <v>3.6447570417175987E-2</v>
      </c>
    </row>
    <row r="11" spans="1:8" x14ac:dyDescent="0.25">
      <c r="A11" s="47">
        <v>11</v>
      </c>
      <c r="B11" s="181">
        <f t="shared" ca="1" si="0"/>
        <v>3529558.4054380283</v>
      </c>
      <c r="C11" s="140">
        <f t="shared" ca="1" si="1"/>
        <v>0.72770424967830716</v>
      </c>
      <c r="D11" s="141">
        <f t="shared" ca="1" si="2"/>
        <v>4.6634607446333243E-2</v>
      </c>
      <c r="H11" s="132"/>
    </row>
    <row r="12" spans="1:8" x14ac:dyDescent="0.25">
      <c r="A12" s="47">
        <v>12</v>
      </c>
      <c r="B12" s="181">
        <f t="shared" ca="1" si="0"/>
        <v>1447148.2124853705</v>
      </c>
      <c r="C12" s="140">
        <f t="shared" ca="1" si="1"/>
        <v>0.29836477631803848</v>
      </c>
      <c r="D12" s="141">
        <f t="shared" ca="1" si="2"/>
        <v>1.9120575736029717E-2</v>
      </c>
      <c r="H12" s="132"/>
    </row>
    <row r="13" spans="1:8" x14ac:dyDescent="0.25">
      <c r="A13" s="47">
        <v>13</v>
      </c>
      <c r="B13" s="181">
        <f t="shared" ca="1" si="0"/>
        <v>2202820.2452332638</v>
      </c>
      <c r="C13" s="140">
        <f t="shared" ca="1" si="1"/>
        <v>0.45416493215238907</v>
      </c>
      <c r="D13" s="141">
        <f t="shared" ca="1" si="2"/>
        <v>2.9104960340935338E-2</v>
      </c>
      <c r="G13" s="180"/>
      <c r="H13" s="132"/>
    </row>
    <row r="14" spans="1:8" x14ac:dyDescent="0.25">
      <c r="A14" s="47">
        <v>14</v>
      </c>
      <c r="B14" s="181">
        <f t="shared" ca="1" si="0"/>
        <v>4080234.8002890889</v>
      </c>
      <c r="C14" s="140">
        <f t="shared" ca="1" si="1"/>
        <v>0.8412395724295153</v>
      </c>
      <c r="D14" s="141">
        <f t="shared" ca="1" si="2"/>
        <v>5.3910468773425854E-2</v>
      </c>
      <c r="H14" s="132"/>
    </row>
    <row r="15" spans="1:8" x14ac:dyDescent="0.25">
      <c r="A15" s="47">
        <v>15</v>
      </c>
      <c r="B15" s="181">
        <f t="shared" ca="1" si="0"/>
        <v>2480165.9667138206</v>
      </c>
      <c r="C15" s="140">
        <f t="shared" ca="1" si="1"/>
        <v>0.51134649340394467</v>
      </c>
      <c r="D15" s="141">
        <f t="shared" ca="1" si="2"/>
        <v>3.2769415596368548E-2</v>
      </c>
      <c r="H15" s="132"/>
    </row>
    <row r="16" spans="1:8" x14ac:dyDescent="0.25">
      <c r="A16" s="47">
        <v>16</v>
      </c>
      <c r="B16" s="181">
        <f t="shared" ca="1" si="0"/>
        <v>2660403.0759483241</v>
      </c>
      <c r="C16" s="140">
        <f t="shared" ca="1" si="1"/>
        <v>0.54850675405796945</v>
      </c>
      <c r="D16" s="141">
        <f t="shared" ca="1" si="2"/>
        <v>3.515081459049281E-2</v>
      </c>
      <c r="H16" s="132"/>
    </row>
    <row r="17" spans="1:8" x14ac:dyDescent="0.25">
      <c r="A17" s="47">
        <v>17</v>
      </c>
      <c r="B17" s="181">
        <f t="shared" ca="1" si="0"/>
        <v>3413746.3966487958</v>
      </c>
      <c r="C17" s="140">
        <f t="shared" ca="1" si="1"/>
        <v>0.70382678930540055</v>
      </c>
      <c r="D17" s="141">
        <f t="shared" ca="1" si="2"/>
        <v>4.5104430878313853E-2</v>
      </c>
      <c r="H17" s="132"/>
    </row>
    <row r="18" spans="1:8" x14ac:dyDescent="0.25">
      <c r="A18" s="47">
        <v>18</v>
      </c>
      <c r="B18" s="181">
        <f t="shared" ca="1" si="0"/>
        <v>2429717.0776793309</v>
      </c>
      <c r="C18" s="140">
        <f t="shared" ca="1" si="1"/>
        <v>0.50094522879095926</v>
      </c>
      <c r="D18" s="141">
        <f t="shared" ca="1" si="2"/>
        <v>3.2102855118830542E-2</v>
      </c>
      <c r="H18" s="132"/>
    </row>
    <row r="19" spans="1:8" x14ac:dyDescent="0.25">
      <c r="A19" s="47">
        <v>19</v>
      </c>
      <c r="B19" s="181">
        <f t="shared" ca="1" si="0"/>
        <v>3169484.1679418138</v>
      </c>
      <c r="C19" s="140">
        <f t="shared" ca="1" si="1"/>
        <v>0.65346619416916396</v>
      </c>
      <c r="D19" s="141">
        <f t="shared" ca="1" si="2"/>
        <v>4.187709424261285E-2</v>
      </c>
      <c r="H19" s="132"/>
    </row>
    <row r="20" spans="1:8" x14ac:dyDescent="0.25">
      <c r="A20" s="47">
        <v>20</v>
      </c>
      <c r="B20" s="181">
        <f t="shared" ca="1" si="0"/>
        <v>2605391.4564357619</v>
      </c>
      <c r="C20" s="140">
        <f t="shared" ca="1" si="1"/>
        <v>0.53716477166172993</v>
      </c>
      <c r="D20" s="141">
        <f t="shared" ca="1" si="2"/>
        <v>3.4423968626702335E-2</v>
      </c>
      <c r="H20" s="132"/>
    </row>
    <row r="21" spans="1:8" x14ac:dyDescent="0.25">
      <c r="A21" s="47">
        <v>21</v>
      </c>
      <c r="B21" s="181">
        <f t="shared" ca="1" si="0"/>
        <v>2533625.4869922856</v>
      </c>
      <c r="C21" s="140">
        <f t="shared" ca="1" si="1"/>
        <v>0.52236847281997156</v>
      </c>
      <c r="D21" s="141">
        <f t="shared" ca="1" si="2"/>
        <v>3.3475754309623559E-2</v>
      </c>
      <c r="H21" s="132"/>
    </row>
    <row r="22" spans="1:8" x14ac:dyDescent="0.25">
      <c r="A22" s="47">
        <v>22</v>
      </c>
      <c r="B22" s="181">
        <f t="shared" ca="1" si="0"/>
        <v>3662451.3410293474</v>
      </c>
      <c r="C22" s="140">
        <f t="shared" ca="1" si="1"/>
        <v>0.75510335825603503</v>
      </c>
      <c r="D22" s="141">
        <f t="shared" ca="1" si="2"/>
        <v>4.8390467293883466E-2</v>
      </c>
      <c r="H22" s="132"/>
    </row>
    <row r="23" spans="1:8" x14ac:dyDescent="0.25">
      <c r="A23" s="47">
        <v>23</v>
      </c>
      <c r="B23" s="181">
        <f t="shared" ca="1" si="0"/>
        <v>3062777.4786329735</v>
      </c>
      <c r="C23" s="140">
        <f t="shared" ca="1" si="1"/>
        <v>0.6314660167080095</v>
      </c>
      <c r="D23" s="141">
        <f t="shared" ca="1" si="2"/>
        <v>4.0467222526040972E-2</v>
      </c>
    </row>
    <row r="24" spans="1:8" x14ac:dyDescent="0.25">
      <c r="A24" s="47">
        <v>24</v>
      </c>
      <c r="B24" s="181">
        <f t="shared" ca="1" si="0"/>
        <v>3957720.5967020243</v>
      </c>
      <c r="C24" s="140">
        <f t="shared" ca="1" si="1"/>
        <v>0.81598029170507702</v>
      </c>
      <c r="D24" s="141">
        <f t="shared" ca="1" si="2"/>
        <v>5.2291738854668826E-2</v>
      </c>
    </row>
    <row r="25" spans="1:8" x14ac:dyDescent="0.25">
      <c r="A25" s="47">
        <v>25</v>
      </c>
      <c r="B25" s="181">
        <f t="shared" ca="1" si="0"/>
        <v>3900220.5748782805</v>
      </c>
      <c r="C25" s="140">
        <f t="shared" ca="1" si="1"/>
        <v>0.80412526469284051</v>
      </c>
      <c r="D25" s="141">
        <f t="shared" ca="1" si="2"/>
        <v>5.1532014651840929E-2</v>
      </c>
    </row>
    <row r="26" spans="1:8" x14ac:dyDescent="0.25">
      <c r="A26" s="47">
        <v>26</v>
      </c>
      <c r="B26" s="181">
        <f t="shared" ca="1" si="0"/>
        <v>1873961.469277055</v>
      </c>
      <c r="C26" s="140">
        <f t="shared" ca="1" si="1"/>
        <v>0.38636270271806983</v>
      </c>
      <c r="D26" s="141">
        <f t="shared" ca="1" si="2"/>
        <v>2.4759884226492581E-2</v>
      </c>
    </row>
    <row r="27" spans="1:8" x14ac:dyDescent="0.25">
      <c r="A27" s="47"/>
      <c r="B27" s="181" t="str">
        <f t="shared" si="0"/>
        <v/>
      </c>
      <c r="C27" s="140" t="str">
        <f t="shared" ca="1" si="1"/>
        <v/>
      </c>
      <c r="D27" s="141" t="str">
        <f t="shared" si="2"/>
        <v/>
      </c>
    </row>
    <row r="28" spans="1:8" x14ac:dyDescent="0.25">
      <c r="A28" s="47"/>
      <c r="B28" s="181" t="str">
        <f t="shared" si="0"/>
        <v/>
      </c>
      <c r="C28" s="140" t="str">
        <f t="shared" ca="1" si="1"/>
        <v/>
      </c>
      <c r="D28" s="141" t="str">
        <f t="shared" si="2"/>
        <v/>
      </c>
    </row>
    <row r="29" spans="1:8" x14ac:dyDescent="0.25">
      <c r="A29" s="47"/>
      <c r="B29" s="181" t="str">
        <f t="shared" si="0"/>
        <v/>
      </c>
      <c r="C29" s="140" t="str">
        <f t="shared" ca="1" si="1"/>
        <v/>
      </c>
      <c r="D29" s="141" t="str">
        <f t="shared" si="2"/>
        <v/>
      </c>
    </row>
    <row r="30" spans="1:8" x14ac:dyDescent="0.25">
      <c r="A30" s="47"/>
      <c r="B30" s="181" t="str">
        <f t="shared" si="0"/>
        <v/>
      </c>
      <c r="C30" s="140" t="str">
        <f t="shared" ca="1" si="1"/>
        <v/>
      </c>
      <c r="D30" s="141" t="str">
        <f t="shared" si="2"/>
        <v/>
      </c>
    </row>
    <row r="31" spans="1:8" x14ac:dyDescent="0.25">
      <c r="A31" s="47"/>
      <c r="B31" s="181" t="str">
        <f t="shared" si="0"/>
        <v/>
      </c>
      <c r="C31" s="140" t="str">
        <f t="shared" ca="1" si="1"/>
        <v/>
      </c>
      <c r="D31" s="141" t="str">
        <f t="shared" si="2"/>
        <v/>
      </c>
    </row>
    <row r="32" spans="1:8" x14ac:dyDescent="0.25">
      <c r="A32" s="47"/>
      <c r="B32" s="150" t="str">
        <f t="shared" si="0"/>
        <v/>
      </c>
      <c r="C32" s="140" t="str">
        <f t="shared" ca="1" si="1"/>
        <v/>
      </c>
      <c r="D32" s="141" t="str">
        <f t="shared" si="2"/>
        <v/>
      </c>
    </row>
    <row r="33" spans="1:4" x14ac:dyDescent="0.25">
      <c r="A33" s="47"/>
      <c r="B33" s="150" t="str">
        <f t="shared" si="0"/>
        <v/>
      </c>
      <c r="C33" s="140" t="str">
        <f t="shared" ca="1" si="1"/>
        <v/>
      </c>
      <c r="D33" s="141" t="str">
        <f t="shared" si="2"/>
        <v/>
      </c>
    </row>
    <row r="34" spans="1:4" x14ac:dyDescent="0.25">
      <c r="A34" s="47"/>
      <c r="B34" s="150" t="str">
        <f t="shared" si="0"/>
        <v/>
      </c>
      <c r="C34" s="140" t="str">
        <f t="shared" ca="1" si="1"/>
        <v/>
      </c>
      <c r="D34" s="141" t="str">
        <f t="shared" si="2"/>
        <v/>
      </c>
    </row>
    <row r="35" spans="1:4" x14ac:dyDescent="0.25">
      <c r="A35" s="47"/>
      <c r="B35" s="150" t="str">
        <f t="shared" si="0"/>
        <v/>
      </c>
      <c r="C35" s="140" t="str">
        <f t="shared" ca="1" si="1"/>
        <v/>
      </c>
      <c r="D35" s="141" t="str">
        <f t="shared" si="2"/>
        <v/>
      </c>
    </row>
    <row r="36" spans="1:4" x14ac:dyDescent="0.25">
      <c r="A36" s="47"/>
      <c r="B36" s="150" t="str">
        <f t="shared" si="0"/>
        <v/>
      </c>
      <c r="C36" s="140" t="str">
        <f t="shared" ca="1" si="1"/>
        <v/>
      </c>
      <c r="D36" s="141" t="str">
        <f t="shared" si="2"/>
        <v/>
      </c>
    </row>
    <row r="37" spans="1:4" x14ac:dyDescent="0.25">
      <c r="A37" s="47"/>
      <c r="B37" s="150" t="str">
        <f t="shared" si="0"/>
        <v/>
      </c>
      <c r="C37" s="140" t="str">
        <f t="shared" ca="1" si="1"/>
        <v/>
      </c>
      <c r="D37" s="141" t="str">
        <f t="shared" si="2"/>
        <v/>
      </c>
    </row>
    <row r="38" spans="1:4" x14ac:dyDescent="0.25">
      <c r="A38" s="47"/>
      <c r="B38" s="150" t="str">
        <f t="shared" si="0"/>
        <v/>
      </c>
      <c r="C38" s="140" t="str">
        <f t="shared" ca="1" si="1"/>
        <v/>
      </c>
      <c r="D38" s="141" t="str">
        <f t="shared" si="2"/>
        <v/>
      </c>
    </row>
    <row r="39" spans="1:4" x14ac:dyDescent="0.25">
      <c r="A39" s="47"/>
      <c r="B39" s="150" t="str">
        <f t="shared" si="0"/>
        <v/>
      </c>
      <c r="C39" s="140" t="str">
        <f t="shared" ca="1" si="1"/>
        <v/>
      </c>
      <c r="D39" s="141" t="str">
        <f t="shared" si="2"/>
        <v/>
      </c>
    </row>
    <row r="40" spans="1:4" x14ac:dyDescent="0.25">
      <c r="A40" s="47"/>
      <c r="B40" s="150" t="str">
        <f t="shared" si="0"/>
        <v/>
      </c>
      <c r="C40" s="140" t="str">
        <f t="shared" ca="1" si="1"/>
        <v/>
      </c>
      <c r="D40" s="141" t="str">
        <f t="shared" si="2"/>
        <v/>
      </c>
    </row>
    <row r="41" spans="1:4" x14ac:dyDescent="0.25">
      <c r="A41" s="47"/>
      <c r="B41" s="150" t="str">
        <f t="shared" si="0"/>
        <v/>
      </c>
      <c r="C41" s="140" t="str">
        <f t="shared" ca="1" si="1"/>
        <v/>
      </c>
      <c r="D41" s="141" t="str">
        <f t="shared" si="2"/>
        <v/>
      </c>
    </row>
    <row r="42" spans="1:4" x14ac:dyDescent="0.25">
      <c r="A42" s="47"/>
      <c r="B42" s="150" t="str">
        <f t="shared" si="0"/>
        <v/>
      </c>
      <c r="C42" s="140" t="str">
        <f t="shared" ca="1" si="1"/>
        <v/>
      </c>
      <c r="D42" s="141" t="str">
        <f t="shared" si="2"/>
        <v/>
      </c>
    </row>
    <row r="43" spans="1:4" x14ac:dyDescent="0.25">
      <c r="A43" s="47"/>
      <c r="B43" s="150" t="str">
        <f t="shared" si="0"/>
        <v/>
      </c>
      <c r="C43" s="140" t="str">
        <f t="shared" ca="1" si="1"/>
        <v/>
      </c>
      <c r="D43" s="141" t="str">
        <f t="shared" si="2"/>
        <v/>
      </c>
    </row>
    <row r="44" spans="1:4" x14ac:dyDescent="0.25">
      <c r="A44" s="47"/>
      <c r="B44" s="150" t="str">
        <f t="shared" si="0"/>
        <v/>
      </c>
      <c r="C44" s="140" t="str">
        <f t="shared" ca="1" si="1"/>
        <v/>
      </c>
      <c r="D44" s="141" t="str">
        <f t="shared" si="2"/>
        <v/>
      </c>
    </row>
    <row r="45" spans="1:4" x14ac:dyDescent="0.25">
      <c r="A45" s="47"/>
      <c r="B45" s="150" t="str">
        <f t="shared" si="0"/>
        <v/>
      </c>
      <c r="C45" s="140" t="str">
        <f t="shared" ca="1" si="1"/>
        <v/>
      </c>
      <c r="D45" s="141" t="str">
        <f t="shared" si="2"/>
        <v/>
      </c>
    </row>
    <row r="46" spans="1:4" x14ac:dyDescent="0.25">
      <c r="A46" s="47"/>
      <c r="B46" s="150" t="str">
        <f t="shared" si="0"/>
        <v/>
      </c>
      <c r="C46" s="140" t="str">
        <f t="shared" ca="1" si="1"/>
        <v/>
      </c>
      <c r="D46" s="141" t="str">
        <f t="shared" si="2"/>
        <v/>
      </c>
    </row>
    <row r="47" spans="1:4" x14ac:dyDescent="0.25">
      <c r="A47" s="47"/>
      <c r="B47" s="150" t="str">
        <f t="shared" si="0"/>
        <v/>
      </c>
      <c r="C47" s="140" t="str">
        <f t="shared" ca="1" si="1"/>
        <v/>
      </c>
      <c r="D47" s="141" t="str">
        <f t="shared" si="2"/>
        <v/>
      </c>
    </row>
    <row r="48" spans="1:4" x14ac:dyDescent="0.25">
      <c r="A48" s="47"/>
      <c r="B48" s="150" t="str">
        <f t="shared" si="0"/>
        <v/>
      </c>
      <c r="C48" s="140" t="str">
        <f t="shared" ca="1" si="1"/>
        <v/>
      </c>
      <c r="D48" s="141" t="str">
        <f t="shared" si="2"/>
        <v/>
      </c>
    </row>
    <row r="49" spans="1:4" x14ac:dyDescent="0.25">
      <c r="A49" s="47"/>
      <c r="B49" s="150" t="str">
        <f t="shared" si="0"/>
        <v/>
      </c>
      <c r="C49" s="140" t="str">
        <f t="shared" ca="1" si="1"/>
        <v/>
      </c>
      <c r="D49" s="141" t="str">
        <f t="shared" si="2"/>
        <v/>
      </c>
    </row>
    <row r="50" spans="1:4" x14ac:dyDescent="0.25">
      <c r="A50" s="47"/>
      <c r="B50" s="150" t="str">
        <f t="shared" si="0"/>
        <v/>
      </c>
      <c r="C50" s="140" t="str">
        <f t="shared" ca="1" si="1"/>
        <v/>
      </c>
      <c r="D50" s="141" t="str">
        <f t="shared" si="2"/>
        <v/>
      </c>
    </row>
    <row r="51" spans="1:4" x14ac:dyDescent="0.25">
      <c r="A51" s="47"/>
      <c r="B51" s="150" t="str">
        <f t="shared" si="0"/>
        <v/>
      </c>
      <c r="C51" s="140" t="str">
        <f t="shared" ca="1" si="1"/>
        <v/>
      </c>
      <c r="D51" s="141" t="str">
        <f t="shared" si="2"/>
        <v/>
      </c>
    </row>
    <row r="52" spans="1:4" x14ac:dyDescent="0.25">
      <c r="A52" s="47"/>
      <c r="B52" s="150" t="str">
        <f t="shared" si="0"/>
        <v/>
      </c>
      <c r="C52" s="140" t="str">
        <f t="shared" ca="1" si="1"/>
        <v/>
      </c>
      <c r="D52" s="141" t="str">
        <f t="shared" si="2"/>
        <v/>
      </c>
    </row>
    <row r="53" spans="1:4" x14ac:dyDescent="0.25">
      <c r="A53" s="47"/>
      <c r="B53" s="150" t="str">
        <f t="shared" si="0"/>
        <v/>
      </c>
      <c r="C53" s="140" t="str">
        <f t="shared" ca="1" si="1"/>
        <v/>
      </c>
      <c r="D53" s="141" t="str">
        <f t="shared" si="2"/>
        <v/>
      </c>
    </row>
    <row r="54" spans="1:4" x14ac:dyDescent="0.25">
      <c r="A54" s="47"/>
      <c r="B54" s="150" t="str">
        <f t="shared" si="0"/>
        <v/>
      </c>
      <c r="C54" s="140" t="str">
        <f t="shared" ca="1" si="1"/>
        <v/>
      </c>
      <c r="D54" s="141" t="str">
        <f t="shared" si="2"/>
        <v/>
      </c>
    </row>
    <row r="55" spans="1:4" x14ac:dyDescent="0.25">
      <c r="A55" s="47"/>
      <c r="B55" s="150" t="str">
        <f t="shared" si="0"/>
        <v/>
      </c>
      <c r="C55" s="140" t="str">
        <f t="shared" ca="1" si="1"/>
        <v/>
      </c>
      <c r="D55" s="141" t="str">
        <f t="shared" si="2"/>
        <v/>
      </c>
    </row>
    <row r="56" spans="1:4" x14ac:dyDescent="0.25">
      <c r="A56" s="47"/>
      <c r="B56" s="150" t="str">
        <f t="shared" si="0"/>
        <v/>
      </c>
      <c r="C56" s="140" t="str">
        <f t="shared" ca="1" si="1"/>
        <v/>
      </c>
      <c r="D56" s="141" t="str">
        <f t="shared" si="2"/>
        <v/>
      </c>
    </row>
    <row r="57" spans="1:4" x14ac:dyDescent="0.25">
      <c r="A57" s="47"/>
      <c r="B57" s="150" t="str">
        <f t="shared" si="0"/>
        <v/>
      </c>
      <c r="C57" s="140" t="str">
        <f t="shared" ca="1" si="1"/>
        <v/>
      </c>
      <c r="D57" s="141" t="str">
        <f t="shared" si="2"/>
        <v/>
      </c>
    </row>
    <row r="58" spans="1:4" x14ac:dyDescent="0.25">
      <c r="A58" s="47"/>
      <c r="B58" s="150" t="str">
        <f t="shared" si="0"/>
        <v/>
      </c>
      <c r="C58" s="140" t="str">
        <f t="shared" ca="1" si="1"/>
        <v/>
      </c>
      <c r="D58" s="141" t="str">
        <f t="shared" si="2"/>
        <v/>
      </c>
    </row>
    <row r="59" spans="1:4" x14ac:dyDescent="0.25">
      <c r="A59" s="47"/>
      <c r="B59" s="150" t="str">
        <f t="shared" si="0"/>
        <v/>
      </c>
      <c r="C59" s="140" t="str">
        <f t="shared" ca="1" si="1"/>
        <v/>
      </c>
      <c r="D59" s="141" t="str">
        <f t="shared" si="2"/>
        <v/>
      </c>
    </row>
    <row r="60" spans="1:4" x14ac:dyDescent="0.25">
      <c r="A60" s="47"/>
      <c r="B60" s="150" t="str">
        <f t="shared" si="0"/>
        <v/>
      </c>
      <c r="C60" s="140" t="str">
        <f t="shared" ca="1" si="1"/>
        <v/>
      </c>
      <c r="D60" s="141" t="str">
        <f t="shared" si="2"/>
        <v/>
      </c>
    </row>
    <row r="61" spans="1:4" x14ac:dyDescent="0.25">
      <c r="A61" s="47"/>
      <c r="B61" s="150" t="str">
        <f t="shared" si="0"/>
        <v/>
      </c>
      <c r="C61" s="140" t="str">
        <f t="shared" ca="1" si="1"/>
        <v/>
      </c>
      <c r="D61" s="141" t="str">
        <f t="shared" si="2"/>
        <v/>
      </c>
    </row>
    <row r="62" spans="1:4" x14ac:dyDescent="0.25">
      <c r="A62" s="47"/>
      <c r="B62" s="150" t="str">
        <f t="shared" si="0"/>
        <v/>
      </c>
      <c r="C62" s="140" t="str">
        <f t="shared" ca="1" si="1"/>
        <v/>
      </c>
      <c r="D62" s="141" t="str">
        <f t="shared" si="2"/>
        <v/>
      </c>
    </row>
    <row r="63" spans="1:4" x14ac:dyDescent="0.25">
      <c r="A63" s="47"/>
      <c r="B63" s="150" t="str">
        <f t="shared" si="0"/>
        <v/>
      </c>
      <c r="C63" s="140" t="str">
        <f t="shared" ca="1" si="1"/>
        <v/>
      </c>
      <c r="D63" s="141" t="str">
        <f t="shared" si="2"/>
        <v/>
      </c>
    </row>
    <row r="64" spans="1:4" x14ac:dyDescent="0.25">
      <c r="A64" s="47"/>
      <c r="B64" s="150" t="str">
        <f t="shared" si="0"/>
        <v/>
      </c>
      <c r="C64" s="140" t="str">
        <f t="shared" ca="1" si="1"/>
        <v/>
      </c>
      <c r="D64" s="141" t="str">
        <f t="shared" si="2"/>
        <v/>
      </c>
    </row>
    <row r="65" spans="1:4" x14ac:dyDescent="0.25">
      <c r="A65" s="47"/>
      <c r="B65" s="150" t="str">
        <f t="shared" si="0"/>
        <v/>
      </c>
      <c r="C65" s="140" t="str">
        <f t="shared" ca="1" si="1"/>
        <v/>
      </c>
      <c r="D65" s="141" t="str">
        <f t="shared" si="2"/>
        <v/>
      </c>
    </row>
    <row r="66" spans="1:4" x14ac:dyDescent="0.25">
      <c r="A66" s="47"/>
      <c r="B66" s="150" t="str">
        <f t="shared" ref="B66:B100" si="3">IF(A66&gt;0,D66*$E$1,"")</f>
        <v/>
      </c>
      <c r="C66" s="140" t="str">
        <f t="shared" ref="C66:C100" ca="1" si="4">IF(A66&gt;0,RAND(),"")</f>
        <v/>
      </c>
      <c r="D66" s="141" t="str">
        <f t="shared" ref="D66:D100" si="5">IF(A66&gt;0,C66/SUM($C$1:$C$100),"")</f>
        <v/>
      </c>
    </row>
    <row r="67" spans="1:4" x14ac:dyDescent="0.25">
      <c r="A67" s="47"/>
      <c r="B67" s="150" t="str">
        <f t="shared" si="3"/>
        <v/>
      </c>
      <c r="C67" s="140" t="str">
        <f t="shared" ca="1" si="4"/>
        <v/>
      </c>
      <c r="D67" s="141" t="str">
        <f t="shared" si="5"/>
        <v/>
      </c>
    </row>
    <row r="68" spans="1:4" x14ac:dyDescent="0.25">
      <c r="A68" s="47"/>
      <c r="B68" s="150" t="str">
        <f t="shared" si="3"/>
        <v/>
      </c>
      <c r="C68" s="140" t="str">
        <f t="shared" ca="1" si="4"/>
        <v/>
      </c>
      <c r="D68" s="141" t="str">
        <f t="shared" si="5"/>
        <v/>
      </c>
    </row>
    <row r="69" spans="1:4" x14ac:dyDescent="0.25">
      <c r="A69" s="47"/>
      <c r="B69" s="150" t="str">
        <f t="shared" si="3"/>
        <v/>
      </c>
      <c r="C69" s="140" t="str">
        <f t="shared" ca="1" si="4"/>
        <v/>
      </c>
      <c r="D69" s="141" t="str">
        <f t="shared" si="5"/>
        <v/>
      </c>
    </row>
    <row r="70" spans="1:4" x14ac:dyDescent="0.25">
      <c r="A70" s="47"/>
      <c r="B70" s="150" t="str">
        <f t="shared" si="3"/>
        <v/>
      </c>
      <c r="C70" s="140" t="str">
        <f t="shared" ca="1" si="4"/>
        <v/>
      </c>
      <c r="D70" s="141" t="str">
        <f t="shared" si="5"/>
        <v/>
      </c>
    </row>
    <row r="71" spans="1:4" x14ac:dyDescent="0.25">
      <c r="A71" s="47"/>
      <c r="B71" s="150" t="str">
        <f t="shared" si="3"/>
        <v/>
      </c>
      <c r="C71" s="140" t="str">
        <f t="shared" ca="1" si="4"/>
        <v/>
      </c>
      <c r="D71" s="141" t="str">
        <f t="shared" si="5"/>
        <v/>
      </c>
    </row>
    <row r="72" spans="1:4" x14ac:dyDescent="0.25">
      <c r="A72" s="47"/>
      <c r="B72" s="150" t="str">
        <f t="shared" si="3"/>
        <v/>
      </c>
      <c r="C72" s="140" t="str">
        <f t="shared" ca="1" si="4"/>
        <v/>
      </c>
      <c r="D72" s="141" t="str">
        <f t="shared" si="5"/>
        <v/>
      </c>
    </row>
    <row r="73" spans="1:4" x14ac:dyDescent="0.25">
      <c r="A73" s="47"/>
      <c r="B73" s="150" t="str">
        <f t="shared" si="3"/>
        <v/>
      </c>
      <c r="C73" s="140" t="str">
        <f t="shared" ca="1" si="4"/>
        <v/>
      </c>
      <c r="D73" s="141" t="str">
        <f t="shared" si="5"/>
        <v/>
      </c>
    </row>
    <row r="74" spans="1:4" x14ac:dyDescent="0.25">
      <c r="A74" s="47"/>
      <c r="B74" s="150" t="str">
        <f t="shared" si="3"/>
        <v/>
      </c>
      <c r="C74" s="140" t="str">
        <f t="shared" ca="1" si="4"/>
        <v/>
      </c>
      <c r="D74" s="141" t="str">
        <f t="shared" si="5"/>
        <v/>
      </c>
    </row>
    <row r="75" spans="1:4" x14ac:dyDescent="0.25">
      <c r="A75" s="47"/>
      <c r="B75" s="150" t="str">
        <f t="shared" si="3"/>
        <v/>
      </c>
      <c r="C75" s="140" t="str">
        <f t="shared" ca="1" si="4"/>
        <v/>
      </c>
      <c r="D75" s="141" t="str">
        <f t="shared" si="5"/>
        <v/>
      </c>
    </row>
    <row r="76" spans="1:4" x14ac:dyDescent="0.25">
      <c r="A76" s="47"/>
      <c r="B76" s="150" t="str">
        <f t="shared" si="3"/>
        <v/>
      </c>
      <c r="C76" s="140" t="str">
        <f t="shared" ca="1" si="4"/>
        <v/>
      </c>
      <c r="D76" s="141" t="str">
        <f t="shared" si="5"/>
        <v/>
      </c>
    </row>
    <row r="77" spans="1:4" x14ac:dyDescent="0.25">
      <c r="A77" s="47"/>
      <c r="B77" s="150" t="str">
        <f t="shared" si="3"/>
        <v/>
      </c>
      <c r="C77" s="140" t="str">
        <f t="shared" ca="1" si="4"/>
        <v/>
      </c>
      <c r="D77" s="141" t="str">
        <f t="shared" si="5"/>
        <v/>
      </c>
    </row>
    <row r="78" spans="1:4" x14ac:dyDescent="0.25">
      <c r="A78" s="47"/>
      <c r="B78" s="150" t="str">
        <f t="shared" si="3"/>
        <v/>
      </c>
      <c r="C78" s="140" t="str">
        <f t="shared" ca="1" si="4"/>
        <v/>
      </c>
      <c r="D78" s="141" t="str">
        <f t="shared" si="5"/>
        <v/>
      </c>
    </row>
    <row r="79" spans="1:4" x14ac:dyDescent="0.25">
      <c r="A79" s="47"/>
      <c r="B79" s="150" t="str">
        <f t="shared" si="3"/>
        <v/>
      </c>
      <c r="C79" s="140" t="str">
        <f t="shared" ca="1" si="4"/>
        <v/>
      </c>
      <c r="D79" s="141" t="str">
        <f t="shared" si="5"/>
        <v/>
      </c>
    </row>
    <row r="80" spans="1:4" x14ac:dyDescent="0.25">
      <c r="A80" s="47"/>
      <c r="B80" s="150" t="str">
        <f t="shared" si="3"/>
        <v/>
      </c>
      <c r="C80" s="140" t="str">
        <f t="shared" ca="1" si="4"/>
        <v/>
      </c>
      <c r="D80" s="141" t="str">
        <f t="shared" si="5"/>
        <v/>
      </c>
    </row>
    <row r="81" spans="1:4" x14ac:dyDescent="0.25">
      <c r="A81" s="47"/>
      <c r="B81" s="150" t="str">
        <f t="shared" si="3"/>
        <v/>
      </c>
      <c r="C81" s="140" t="str">
        <f t="shared" ca="1" si="4"/>
        <v/>
      </c>
      <c r="D81" s="141" t="str">
        <f t="shared" si="5"/>
        <v/>
      </c>
    </row>
    <row r="82" spans="1:4" x14ac:dyDescent="0.25">
      <c r="A82" s="47"/>
      <c r="B82" s="150" t="str">
        <f t="shared" si="3"/>
        <v/>
      </c>
      <c r="C82" s="140" t="str">
        <f t="shared" ca="1" si="4"/>
        <v/>
      </c>
      <c r="D82" s="141" t="str">
        <f t="shared" si="5"/>
        <v/>
      </c>
    </row>
    <row r="83" spans="1:4" x14ac:dyDescent="0.25">
      <c r="A83" s="47"/>
      <c r="B83" s="150" t="str">
        <f t="shared" si="3"/>
        <v/>
      </c>
      <c r="C83" s="140" t="str">
        <f t="shared" ca="1" si="4"/>
        <v/>
      </c>
      <c r="D83" s="141" t="str">
        <f t="shared" si="5"/>
        <v/>
      </c>
    </row>
    <row r="84" spans="1:4" x14ac:dyDescent="0.25">
      <c r="A84" s="47"/>
      <c r="B84" s="150" t="str">
        <f t="shared" si="3"/>
        <v/>
      </c>
      <c r="C84" s="140" t="str">
        <f t="shared" ca="1" si="4"/>
        <v/>
      </c>
      <c r="D84" s="141" t="str">
        <f t="shared" si="5"/>
        <v/>
      </c>
    </row>
    <row r="85" spans="1:4" x14ac:dyDescent="0.25">
      <c r="A85" s="47"/>
      <c r="B85" s="150" t="str">
        <f t="shared" si="3"/>
        <v/>
      </c>
      <c r="C85" s="140" t="str">
        <f t="shared" ca="1" si="4"/>
        <v/>
      </c>
      <c r="D85" s="141" t="str">
        <f t="shared" si="5"/>
        <v/>
      </c>
    </row>
    <row r="86" spans="1:4" x14ac:dyDescent="0.25">
      <c r="A86" s="47"/>
      <c r="B86" s="150" t="str">
        <f t="shared" si="3"/>
        <v/>
      </c>
      <c r="C86" s="140" t="str">
        <f t="shared" ca="1" si="4"/>
        <v/>
      </c>
      <c r="D86" s="141" t="str">
        <f t="shared" si="5"/>
        <v/>
      </c>
    </row>
    <row r="87" spans="1:4" x14ac:dyDescent="0.25">
      <c r="A87" s="47"/>
      <c r="B87" s="150" t="str">
        <f t="shared" si="3"/>
        <v/>
      </c>
      <c r="C87" s="140" t="str">
        <f t="shared" ca="1" si="4"/>
        <v/>
      </c>
      <c r="D87" s="141" t="str">
        <f t="shared" si="5"/>
        <v/>
      </c>
    </row>
    <row r="88" spans="1:4" x14ac:dyDescent="0.25">
      <c r="A88" s="47"/>
      <c r="B88" s="150" t="str">
        <f t="shared" si="3"/>
        <v/>
      </c>
      <c r="C88" s="140" t="str">
        <f t="shared" ca="1" si="4"/>
        <v/>
      </c>
      <c r="D88" s="141" t="str">
        <f t="shared" si="5"/>
        <v/>
      </c>
    </row>
    <row r="89" spans="1:4" x14ac:dyDescent="0.25">
      <c r="A89" s="47"/>
      <c r="B89" s="150" t="str">
        <f t="shared" si="3"/>
        <v/>
      </c>
      <c r="C89" s="140" t="str">
        <f t="shared" ca="1" si="4"/>
        <v/>
      </c>
      <c r="D89" s="141" t="str">
        <f t="shared" si="5"/>
        <v/>
      </c>
    </row>
    <row r="90" spans="1:4" x14ac:dyDescent="0.25">
      <c r="A90" s="47"/>
      <c r="B90" s="150" t="str">
        <f t="shared" si="3"/>
        <v/>
      </c>
      <c r="C90" s="140" t="str">
        <f t="shared" ca="1" si="4"/>
        <v/>
      </c>
      <c r="D90" s="141" t="str">
        <f t="shared" si="5"/>
        <v/>
      </c>
    </row>
    <row r="91" spans="1:4" x14ac:dyDescent="0.25">
      <c r="A91" s="47"/>
      <c r="B91" s="150" t="str">
        <f t="shared" si="3"/>
        <v/>
      </c>
      <c r="C91" s="140" t="str">
        <f t="shared" ca="1" si="4"/>
        <v/>
      </c>
      <c r="D91" s="141" t="str">
        <f t="shared" si="5"/>
        <v/>
      </c>
    </row>
    <row r="92" spans="1:4" x14ac:dyDescent="0.25">
      <c r="A92" s="47"/>
      <c r="B92" s="150" t="str">
        <f t="shared" si="3"/>
        <v/>
      </c>
      <c r="C92" s="140" t="str">
        <f t="shared" ca="1" si="4"/>
        <v/>
      </c>
      <c r="D92" s="141" t="str">
        <f t="shared" si="5"/>
        <v/>
      </c>
    </row>
    <row r="93" spans="1:4" x14ac:dyDescent="0.25">
      <c r="A93" s="47"/>
      <c r="B93" s="150" t="str">
        <f t="shared" si="3"/>
        <v/>
      </c>
      <c r="C93" s="140" t="str">
        <f t="shared" ca="1" si="4"/>
        <v/>
      </c>
      <c r="D93" s="141" t="str">
        <f t="shared" si="5"/>
        <v/>
      </c>
    </row>
    <row r="94" spans="1:4" x14ac:dyDescent="0.25">
      <c r="A94" s="47"/>
      <c r="B94" s="150" t="str">
        <f t="shared" si="3"/>
        <v/>
      </c>
      <c r="C94" s="140" t="str">
        <f t="shared" ca="1" si="4"/>
        <v/>
      </c>
      <c r="D94" s="141" t="str">
        <f t="shared" si="5"/>
        <v/>
      </c>
    </row>
    <row r="95" spans="1:4" x14ac:dyDescent="0.25">
      <c r="A95" s="47"/>
      <c r="B95" s="150" t="str">
        <f t="shared" si="3"/>
        <v/>
      </c>
      <c r="C95" s="140" t="str">
        <f t="shared" ca="1" si="4"/>
        <v/>
      </c>
      <c r="D95" s="141" t="str">
        <f t="shared" si="5"/>
        <v/>
      </c>
    </row>
    <row r="96" spans="1:4" x14ac:dyDescent="0.25">
      <c r="A96" s="47"/>
      <c r="B96" s="150" t="str">
        <f t="shared" si="3"/>
        <v/>
      </c>
      <c r="C96" s="140" t="str">
        <f t="shared" ca="1" si="4"/>
        <v/>
      </c>
      <c r="D96" s="141" t="str">
        <f t="shared" si="5"/>
        <v/>
      </c>
    </row>
    <row r="97" spans="1:8" x14ac:dyDescent="0.25">
      <c r="A97" s="47"/>
      <c r="B97" s="150" t="str">
        <f t="shared" si="3"/>
        <v/>
      </c>
      <c r="C97" s="140" t="str">
        <f t="shared" ca="1" si="4"/>
        <v/>
      </c>
      <c r="D97" s="141" t="str">
        <f t="shared" si="5"/>
        <v/>
      </c>
    </row>
    <row r="98" spans="1:8" x14ac:dyDescent="0.25">
      <c r="A98" s="47"/>
      <c r="B98" s="150" t="str">
        <f t="shared" si="3"/>
        <v/>
      </c>
      <c r="C98" s="140" t="str">
        <f t="shared" ca="1" si="4"/>
        <v/>
      </c>
      <c r="D98" s="141" t="str">
        <f t="shared" si="5"/>
        <v/>
      </c>
    </row>
    <row r="99" spans="1:8" x14ac:dyDescent="0.25">
      <c r="A99" s="47"/>
      <c r="B99" s="150" t="str">
        <f t="shared" si="3"/>
        <v/>
      </c>
      <c r="C99" s="140" t="str">
        <f t="shared" ca="1" si="4"/>
        <v/>
      </c>
      <c r="D99" s="141" t="str">
        <f t="shared" si="5"/>
        <v/>
      </c>
    </row>
    <row r="100" spans="1:8" x14ac:dyDescent="0.25">
      <c r="A100" s="142"/>
      <c r="B100" s="150" t="str">
        <f t="shared" si="3"/>
        <v/>
      </c>
      <c r="C100" s="140" t="str">
        <f t="shared" ca="1" si="4"/>
        <v/>
      </c>
      <c r="D100" s="141" t="str">
        <f t="shared" si="5"/>
        <v/>
      </c>
    </row>
    <row r="101" spans="1:8" s="146" customFormat="1" x14ac:dyDescent="0.25">
      <c r="A101" s="143"/>
      <c r="B101" s="144"/>
      <c r="C101" s="145"/>
      <c r="D101" s="148"/>
      <c r="E101" s="143"/>
      <c r="F101" s="143"/>
      <c r="G101" s="143"/>
      <c r="H101" s="143"/>
    </row>
    <row r="102" spans="1:8" x14ac:dyDescent="0.25">
      <c r="C102" s="140"/>
    </row>
    <row r="103" spans="1:8" x14ac:dyDescent="0.25">
      <c r="C103" s="140"/>
    </row>
    <row r="104" spans="1:8" x14ac:dyDescent="0.25">
      <c r="C104" s="140"/>
    </row>
    <row r="105" spans="1:8" x14ac:dyDescent="0.25">
      <c r="C105" s="140"/>
    </row>
    <row r="106" spans="1:8" x14ac:dyDescent="0.25">
      <c r="C106" s="140"/>
    </row>
    <row r="107" spans="1:8" x14ac:dyDescent="0.25">
      <c r="C107" s="140"/>
    </row>
    <row r="108" spans="1:8" x14ac:dyDescent="0.25">
      <c r="C108" s="140"/>
    </row>
    <row r="109" spans="1:8" x14ac:dyDescent="0.25">
      <c r="C109" s="140"/>
    </row>
    <row r="110" spans="1:8" x14ac:dyDescent="0.25">
      <c r="C110" s="140"/>
    </row>
    <row r="111" spans="1:8" x14ac:dyDescent="0.25">
      <c r="C111" s="140"/>
    </row>
    <row r="112" spans="1:8" x14ac:dyDescent="0.25">
      <c r="C112" s="140"/>
    </row>
    <row r="113" spans="3:3" x14ac:dyDescent="0.25">
      <c r="C113" s="140"/>
    </row>
  </sheetData>
  <conditionalFormatting sqref="B1:B100">
    <cfRule type="cellIs" dxfId="4" priority="3" operator="equal">
      <formula>$F$6</formula>
    </cfRule>
    <cfRule type="cellIs" dxfId="3" priority="5" operator="equal">
      <formula>$F$5</formula>
    </cfRule>
  </conditionalFormatting>
  <conditionalFormatting sqref="F5">
    <cfRule type="cellIs" dxfId="2" priority="4" operator="equal">
      <formula>$F$5</formula>
    </cfRule>
  </conditionalFormatting>
  <conditionalFormatting sqref="F6">
    <cfRule type="cellIs" dxfId="1" priority="1" operator="equal">
      <formula>$F$6</formula>
    </cfRule>
    <cfRule type="cellIs" dxfId="0" priority="2" operator="equal">
      <formula>$F$5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Кнопка1_Щелчок">
                <anchor moveWithCells="1" sizeWithCells="1">
                  <from>
                    <xdr:col>9</xdr:col>
                    <xdr:colOff>219075</xdr:colOff>
                    <xdr:row>3</xdr:row>
                    <xdr:rowOff>47625</xdr:rowOff>
                  </from>
                  <to>
                    <xdr:col>11</xdr:col>
                    <xdr:colOff>304800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43A51-2CA5-4822-8601-FF14FDEC312B}">
  <sheetPr codeName="Лист5"/>
  <dimension ref="A1:C10"/>
  <sheetViews>
    <sheetView workbookViewId="0">
      <selection activeCell="E21" sqref="E21"/>
    </sheetView>
  </sheetViews>
  <sheetFormatPr defaultRowHeight="15" x14ac:dyDescent="0.25"/>
  <cols>
    <col min="1" max="1" width="28.140625" customWidth="1"/>
  </cols>
  <sheetData>
    <row r="1" spans="1:3" ht="15.75" customHeight="1" x14ac:dyDescent="0.25">
      <c r="A1" t="s">
        <v>5</v>
      </c>
      <c r="C1" t="s">
        <v>101</v>
      </c>
    </row>
    <row r="2" spans="1:3" ht="15.75" customHeight="1" x14ac:dyDescent="0.25">
      <c r="A2" t="s">
        <v>0</v>
      </c>
      <c r="C2" t="s">
        <v>102</v>
      </c>
    </row>
    <row r="3" spans="1:3" ht="15.75" customHeight="1" x14ac:dyDescent="0.25">
      <c r="A3" t="s">
        <v>4</v>
      </c>
    </row>
    <row r="4" spans="1:3" ht="15.75" customHeight="1" x14ac:dyDescent="0.25">
      <c r="A4" t="s">
        <v>1</v>
      </c>
    </row>
    <row r="5" spans="1:3" ht="15.75" customHeight="1" x14ac:dyDescent="0.25">
      <c r="A5" t="s">
        <v>7</v>
      </c>
    </row>
    <row r="6" spans="1:3" ht="15.75" customHeight="1" x14ac:dyDescent="0.25">
      <c r="A6" t="s">
        <v>2</v>
      </c>
    </row>
    <row r="7" spans="1:3" ht="15.75" customHeight="1" x14ac:dyDescent="0.25">
      <c r="A7" t="s">
        <v>6</v>
      </c>
    </row>
    <row r="8" spans="1:3" ht="15.75" customHeight="1" x14ac:dyDescent="0.25">
      <c r="A8" t="s">
        <v>8</v>
      </c>
    </row>
    <row r="9" spans="1:3" ht="15.75" customHeight="1" x14ac:dyDescent="0.25">
      <c r="A9" t="s">
        <v>3</v>
      </c>
    </row>
    <row r="10" spans="1:3" x14ac:dyDescent="0.25">
      <c r="A10" t="s">
        <v>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2</vt:i4>
      </vt:variant>
    </vt:vector>
  </HeadingPairs>
  <TitlesOfParts>
    <vt:vector size="7" baseType="lpstr">
      <vt:lpstr>База</vt:lpstr>
      <vt:lpstr>Провиант</vt:lpstr>
      <vt:lpstr>Энергия</vt:lpstr>
      <vt:lpstr>Распред нас</vt:lpstr>
      <vt:lpstr>Список</vt:lpstr>
      <vt:lpstr>страны</vt:lpstr>
      <vt:lpstr>электричество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LipatovKA</dc:creator>
  <cp:lastModifiedBy>LipatovKA</cp:lastModifiedBy>
  <dcterms:created xsi:type="dcterms:W3CDTF">2015-06-05T18:19:34Z</dcterms:created>
  <dcterms:modified xsi:type="dcterms:W3CDTF">2024-10-04T10:58:48Z</dcterms:modified>
</cp:coreProperties>
</file>