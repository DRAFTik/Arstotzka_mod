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ipatovKA\Desktop\_Project Arstotzka\"/>
    </mc:Choice>
  </mc:AlternateContent>
  <xr:revisionPtr revIDLastSave="0" documentId="13_ncr:1_{51B7FB2C-F3A7-4CE0-903F-A185105B452D}" xr6:coauthVersionLast="47" xr6:coauthVersionMax="47" xr10:uidLastSave="{00000000-0000-0000-0000-000000000000}"/>
  <bookViews>
    <workbookView xWindow="-105" yWindow="0" windowWidth="14610" windowHeight="16305" xr2:uid="{00000000-000D-0000-FFFF-FFFF00000000}"/>
  </bookViews>
  <sheets>
    <sheet name="База" sheetId="1" r:id="rId1"/>
    <sheet name="Провиант" sheetId="4" r:id="rId2"/>
    <sheet name="Энергия" sheetId="7" r:id="rId3"/>
    <sheet name="Промменпавер" sheetId="8" r:id="rId4"/>
    <sheet name="Наука" sheetId="9" r:id="rId5"/>
    <sheet name="Распред нас" sheetId="2" r:id="rId6"/>
    <sheet name="Список" sheetId="5" r:id="rId7"/>
  </sheets>
  <definedNames>
    <definedName name="страны">Список!$A$1:$A$9</definedName>
    <definedName name="электричество">Список!$C$1:$C$2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7" i="1" l="1"/>
  <c r="Y23" i="1"/>
  <c r="Y24" i="1"/>
  <c r="AG16" i="1"/>
  <c r="AG28" i="1"/>
  <c r="AG26" i="1"/>
  <c r="AG25" i="1"/>
  <c r="AG24" i="1"/>
  <c r="AG23" i="1"/>
  <c r="AG3" i="1"/>
  <c r="AG13" i="1"/>
  <c r="U24" i="7"/>
  <c r="V24" i="7"/>
  <c r="X24" i="7"/>
  <c r="U25" i="7"/>
  <c r="W25" i="7" s="1"/>
  <c r="V25" i="7"/>
  <c r="X25" i="7"/>
  <c r="U26" i="7"/>
  <c r="V26" i="7"/>
  <c r="W26" i="7"/>
  <c r="X26" i="7"/>
  <c r="U27" i="7"/>
  <c r="W27" i="7" s="1"/>
  <c r="V27" i="7"/>
  <c r="X27" i="7"/>
  <c r="U28" i="7"/>
  <c r="V28" i="7"/>
  <c r="X28" i="7"/>
  <c r="X23" i="7"/>
  <c r="V23" i="7"/>
  <c r="U23" i="7"/>
  <c r="AG15" i="1"/>
  <c r="AG17" i="1"/>
  <c r="AG18" i="1"/>
  <c r="AG19" i="1"/>
  <c r="AG20" i="1"/>
  <c r="AG21" i="1"/>
  <c r="AG14" i="1"/>
  <c r="AL8" i="1"/>
  <c r="AL7" i="1"/>
  <c r="AL6" i="1"/>
  <c r="AL5" i="1"/>
  <c r="AL3" i="1" s="1"/>
  <c r="AL4" i="1"/>
  <c r="AL29" i="1"/>
  <c r="AL22" i="1"/>
  <c r="AL13" i="1"/>
  <c r="I23" i="4"/>
  <c r="H22" i="4"/>
  <c r="I22" i="4"/>
  <c r="H23" i="4"/>
  <c r="H24" i="4"/>
  <c r="I24" i="4"/>
  <c r="H25" i="4"/>
  <c r="I25" i="4"/>
  <c r="H26" i="4"/>
  <c r="I26" i="4"/>
  <c r="H27" i="4"/>
  <c r="I27" i="4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T6" i="7"/>
  <c r="T4" i="7"/>
  <c r="T5" i="7"/>
  <c r="AB37" i="1"/>
  <c r="AA37" i="1"/>
  <c r="AB36" i="1"/>
  <c r="AA36" i="1"/>
  <c r="AB35" i="1"/>
  <c r="AA35" i="1"/>
  <c r="AB34" i="1"/>
  <c r="AA34" i="1"/>
  <c r="AB33" i="1"/>
  <c r="AA33" i="1"/>
  <c r="AB32" i="1"/>
  <c r="AA32" i="1"/>
  <c r="AB31" i="1"/>
  <c r="AA31" i="1"/>
  <c r="AB30" i="1"/>
  <c r="AA30" i="1"/>
  <c r="AB28" i="1"/>
  <c r="AA28" i="1"/>
  <c r="AB27" i="1"/>
  <c r="AA27" i="1"/>
  <c r="AB26" i="1"/>
  <c r="AA26" i="1"/>
  <c r="AB25" i="1"/>
  <c r="AA25" i="1"/>
  <c r="AB24" i="1"/>
  <c r="AA24" i="1"/>
  <c r="AB23" i="1"/>
  <c r="AA23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14" i="1"/>
  <c r="AB14" i="1"/>
  <c r="Z37" i="1"/>
  <c r="Y37" i="1"/>
  <c r="X37" i="1"/>
  <c r="Z36" i="1"/>
  <c r="Y36" i="1"/>
  <c r="X36" i="1"/>
  <c r="Z35" i="1"/>
  <c r="Y35" i="1"/>
  <c r="X35" i="1"/>
  <c r="Z34" i="1"/>
  <c r="Y34" i="1"/>
  <c r="X34" i="1"/>
  <c r="Z33" i="1"/>
  <c r="Y33" i="1"/>
  <c r="X33" i="1"/>
  <c r="Z32" i="1"/>
  <c r="Y32" i="1"/>
  <c r="X32" i="1"/>
  <c r="Z31" i="1"/>
  <c r="Y31" i="1"/>
  <c r="X31" i="1"/>
  <c r="Z30" i="1"/>
  <c r="Y30" i="1"/>
  <c r="X30" i="1"/>
  <c r="Z28" i="1"/>
  <c r="Y28" i="1"/>
  <c r="X28" i="1"/>
  <c r="Z27" i="1"/>
  <c r="Y27" i="1"/>
  <c r="X27" i="1"/>
  <c r="Z26" i="1"/>
  <c r="Y26" i="1"/>
  <c r="X26" i="1"/>
  <c r="Z25" i="1"/>
  <c r="Y25" i="1"/>
  <c r="X25" i="1"/>
  <c r="Z24" i="1"/>
  <c r="X24" i="1"/>
  <c r="Z23" i="1"/>
  <c r="X23" i="1"/>
  <c r="V16" i="1"/>
  <c r="Z21" i="1"/>
  <c r="Y21" i="1"/>
  <c r="X21" i="1"/>
  <c r="Z20" i="1"/>
  <c r="Y20" i="1"/>
  <c r="X20" i="1"/>
  <c r="Z19" i="1"/>
  <c r="Y19" i="1"/>
  <c r="X19" i="1"/>
  <c r="Z18" i="1"/>
  <c r="Y18" i="1"/>
  <c r="X18" i="1"/>
  <c r="Z17" i="1"/>
  <c r="Y17" i="1"/>
  <c r="X17" i="1"/>
  <c r="Z16" i="1"/>
  <c r="Y16" i="1"/>
  <c r="X16" i="1"/>
  <c r="Z15" i="1"/>
  <c r="Y15" i="1"/>
  <c r="X15" i="1"/>
  <c r="Z14" i="1"/>
  <c r="Y14" i="1"/>
  <c r="X14" i="1"/>
  <c r="X37" i="7"/>
  <c r="AD37" i="1" s="1"/>
  <c r="V37" i="7"/>
  <c r="U37" i="7"/>
  <c r="I37" i="7"/>
  <c r="H37" i="7"/>
  <c r="G37" i="7"/>
  <c r="F37" i="7"/>
  <c r="X36" i="7"/>
  <c r="AD36" i="1" s="1"/>
  <c r="V36" i="7"/>
  <c r="U36" i="7"/>
  <c r="I36" i="7"/>
  <c r="H36" i="7"/>
  <c r="G36" i="7"/>
  <c r="F36" i="7"/>
  <c r="X35" i="7"/>
  <c r="AD35" i="1" s="1"/>
  <c r="V35" i="7"/>
  <c r="U35" i="7"/>
  <c r="I35" i="7"/>
  <c r="H35" i="7"/>
  <c r="G35" i="7"/>
  <c r="F35" i="7"/>
  <c r="X34" i="7"/>
  <c r="AD34" i="1" s="1"/>
  <c r="V34" i="7"/>
  <c r="U34" i="7"/>
  <c r="I34" i="7"/>
  <c r="H34" i="7"/>
  <c r="G34" i="7"/>
  <c r="F34" i="7"/>
  <c r="X33" i="7"/>
  <c r="AD33" i="1" s="1"/>
  <c r="V33" i="7"/>
  <c r="U33" i="7"/>
  <c r="I33" i="7"/>
  <c r="H33" i="7"/>
  <c r="G33" i="7"/>
  <c r="F33" i="7"/>
  <c r="X32" i="7"/>
  <c r="AD32" i="1" s="1"/>
  <c r="V32" i="7"/>
  <c r="U32" i="7"/>
  <c r="I32" i="7"/>
  <c r="H32" i="7"/>
  <c r="G32" i="7"/>
  <c r="F32" i="7"/>
  <c r="X31" i="7"/>
  <c r="AD31" i="1" s="1"/>
  <c r="V31" i="7"/>
  <c r="U31" i="7"/>
  <c r="I31" i="7"/>
  <c r="H31" i="7"/>
  <c r="G31" i="7"/>
  <c r="F31" i="7"/>
  <c r="X30" i="7"/>
  <c r="AD30" i="1" s="1"/>
  <c r="V30" i="7"/>
  <c r="U30" i="7"/>
  <c r="I30" i="7"/>
  <c r="H30" i="7"/>
  <c r="G30" i="7"/>
  <c r="F30" i="7"/>
  <c r="I28" i="7"/>
  <c r="W28" i="7" s="1"/>
  <c r="H28" i="7"/>
  <c r="G28" i="7"/>
  <c r="F28" i="7"/>
  <c r="AD27" i="1"/>
  <c r="I27" i="7"/>
  <c r="H27" i="7"/>
  <c r="G27" i="7"/>
  <c r="F27" i="7"/>
  <c r="I26" i="7"/>
  <c r="H26" i="7"/>
  <c r="G26" i="7"/>
  <c r="F26" i="7"/>
  <c r="AD25" i="1"/>
  <c r="I25" i="7"/>
  <c r="H25" i="7"/>
  <c r="G25" i="7"/>
  <c r="F25" i="7"/>
  <c r="I24" i="7"/>
  <c r="W24" i="7" s="1"/>
  <c r="H24" i="7"/>
  <c r="G24" i="7"/>
  <c r="F24" i="7"/>
  <c r="AD23" i="1"/>
  <c r="I23" i="7"/>
  <c r="W23" i="7" s="1"/>
  <c r="H23" i="7"/>
  <c r="G23" i="7"/>
  <c r="F23" i="7"/>
  <c r="M3" i="4"/>
  <c r="E22" i="4"/>
  <c r="H36" i="4"/>
  <c r="E36" i="4"/>
  <c r="G36" i="4" s="1"/>
  <c r="K36" i="4" s="1"/>
  <c r="H35" i="4"/>
  <c r="E35" i="4"/>
  <c r="G35" i="4" s="1"/>
  <c r="K35" i="4" s="1"/>
  <c r="H34" i="4"/>
  <c r="E34" i="4"/>
  <c r="G34" i="4" s="1"/>
  <c r="K34" i="4" s="1"/>
  <c r="H33" i="4"/>
  <c r="E33" i="4"/>
  <c r="G33" i="4" s="1"/>
  <c r="K33" i="4" s="1"/>
  <c r="H32" i="4"/>
  <c r="E32" i="4"/>
  <c r="G32" i="4" s="1"/>
  <c r="K32" i="4" s="1"/>
  <c r="H31" i="4"/>
  <c r="E31" i="4"/>
  <c r="G31" i="4" s="1"/>
  <c r="K31" i="4" s="1"/>
  <c r="H30" i="4"/>
  <c r="E30" i="4"/>
  <c r="G30" i="4" s="1"/>
  <c r="K30" i="4" s="1"/>
  <c r="H29" i="4"/>
  <c r="E29" i="4"/>
  <c r="G29" i="4" s="1"/>
  <c r="K29" i="4" s="1"/>
  <c r="E27" i="4"/>
  <c r="G27" i="4" s="1"/>
  <c r="K27" i="4" s="1"/>
  <c r="E26" i="4"/>
  <c r="G26" i="4" s="1"/>
  <c r="K26" i="4" s="1"/>
  <c r="E25" i="4"/>
  <c r="G25" i="4" s="1"/>
  <c r="K25" i="4" s="1"/>
  <c r="E24" i="4"/>
  <c r="G24" i="4" s="1"/>
  <c r="K24" i="4" s="1"/>
  <c r="E23" i="4"/>
  <c r="G23" i="4" s="1"/>
  <c r="K23" i="4" s="1"/>
  <c r="G22" i="4"/>
  <c r="K22" i="4" s="1"/>
  <c r="U15" i="7"/>
  <c r="V15" i="7"/>
  <c r="X15" i="7"/>
  <c r="AD15" i="1" s="1"/>
  <c r="U16" i="7"/>
  <c r="V16" i="7"/>
  <c r="X16" i="7"/>
  <c r="AD16" i="1" s="1"/>
  <c r="U17" i="7"/>
  <c r="V17" i="7"/>
  <c r="X17" i="7"/>
  <c r="AD17" i="1" s="1"/>
  <c r="U18" i="7"/>
  <c r="V18" i="7"/>
  <c r="X18" i="7"/>
  <c r="AD18" i="1" s="1"/>
  <c r="U19" i="7"/>
  <c r="V19" i="7"/>
  <c r="X19" i="7"/>
  <c r="AD19" i="1" s="1"/>
  <c r="U20" i="7"/>
  <c r="V20" i="7"/>
  <c r="X20" i="7"/>
  <c r="AD20" i="1" s="1"/>
  <c r="U21" i="7"/>
  <c r="V21" i="7"/>
  <c r="X21" i="7"/>
  <c r="AD21" i="1" s="1"/>
  <c r="V14" i="7"/>
  <c r="U14" i="7"/>
  <c r="H20" i="4"/>
  <c r="E20" i="4"/>
  <c r="G20" i="4" s="1"/>
  <c r="K20" i="4" s="1"/>
  <c r="H19" i="4"/>
  <c r="E19" i="4"/>
  <c r="G19" i="4" s="1"/>
  <c r="K19" i="4" s="1"/>
  <c r="C39" i="4"/>
  <c r="I18" i="4" s="1"/>
  <c r="H18" i="4"/>
  <c r="E18" i="4"/>
  <c r="G18" i="4" s="1"/>
  <c r="K18" i="4" s="1"/>
  <c r="H17" i="4"/>
  <c r="E17" i="4"/>
  <c r="G17" i="4" s="1"/>
  <c r="K17" i="4" s="1"/>
  <c r="H16" i="4"/>
  <c r="E16" i="4"/>
  <c r="G16" i="4" s="1"/>
  <c r="K16" i="4" s="1"/>
  <c r="H15" i="4"/>
  <c r="E15" i="4"/>
  <c r="G15" i="4" s="1"/>
  <c r="K15" i="4" s="1"/>
  <c r="H14" i="4"/>
  <c r="E14" i="4"/>
  <c r="G14" i="4" s="1"/>
  <c r="K14" i="4" s="1"/>
  <c r="H13" i="4"/>
  <c r="E13" i="4"/>
  <c r="G13" i="4" s="1"/>
  <c r="K13" i="4" s="1"/>
  <c r="I21" i="7"/>
  <c r="H21" i="7"/>
  <c r="G21" i="7"/>
  <c r="F21" i="7"/>
  <c r="I20" i="7"/>
  <c r="H20" i="7"/>
  <c r="G20" i="7"/>
  <c r="F20" i="7"/>
  <c r="I19" i="7"/>
  <c r="H19" i="7"/>
  <c r="G19" i="7"/>
  <c r="F19" i="7"/>
  <c r="I18" i="7"/>
  <c r="H18" i="7"/>
  <c r="G18" i="7"/>
  <c r="F18" i="7"/>
  <c r="I17" i="7"/>
  <c r="H17" i="7"/>
  <c r="G17" i="7"/>
  <c r="F17" i="7"/>
  <c r="I16" i="7"/>
  <c r="H16" i="7"/>
  <c r="G16" i="7"/>
  <c r="F16" i="7"/>
  <c r="I15" i="7"/>
  <c r="H15" i="7"/>
  <c r="G15" i="7"/>
  <c r="F15" i="7"/>
  <c r="X14" i="7"/>
  <c r="AD14" i="1" s="1"/>
  <c r="I14" i="7"/>
  <c r="H14" i="7"/>
  <c r="G14" i="7"/>
  <c r="F14" i="7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Y26" i="7" l="1"/>
  <c r="Y24" i="7"/>
  <c r="Z23" i="7"/>
  <c r="Y28" i="7"/>
  <c r="Z27" i="7"/>
  <c r="Y27" i="7"/>
  <c r="Z25" i="7"/>
  <c r="Y25" i="7"/>
  <c r="AE25" i="1" s="1"/>
  <c r="Z28" i="7"/>
  <c r="Z26" i="7"/>
  <c r="Z24" i="7"/>
  <c r="AD26" i="1"/>
  <c r="AD24" i="1"/>
  <c r="AD28" i="1"/>
  <c r="Y23" i="7"/>
  <c r="AE23" i="1" s="1"/>
  <c r="AC27" i="1"/>
  <c r="W31" i="7"/>
  <c r="Y31" i="7" s="1"/>
  <c r="AE31" i="1" s="1"/>
  <c r="W35" i="7"/>
  <c r="AC35" i="1" s="1"/>
  <c r="W18" i="7"/>
  <c r="AC18" i="1" s="1"/>
  <c r="I31" i="4"/>
  <c r="W32" i="7"/>
  <c r="AC32" i="1" s="1"/>
  <c r="AC28" i="1"/>
  <c r="AC25" i="1"/>
  <c r="I36" i="4"/>
  <c r="J36" i="4" s="1"/>
  <c r="AC23" i="1"/>
  <c r="W20" i="7"/>
  <c r="AC20" i="1" s="1"/>
  <c r="J25" i="4"/>
  <c r="F24" i="4"/>
  <c r="F27" i="4"/>
  <c r="I29" i="4"/>
  <c r="J29" i="4" s="1"/>
  <c r="I33" i="4"/>
  <c r="J33" i="4" s="1"/>
  <c r="I34" i="4"/>
  <c r="F34" i="4" s="1"/>
  <c r="F29" i="4"/>
  <c r="I30" i="4"/>
  <c r="J30" i="4" s="1"/>
  <c r="I35" i="4"/>
  <c r="J35" i="4" s="1"/>
  <c r="W14" i="7"/>
  <c r="AC14" i="1" s="1"/>
  <c r="F22" i="4"/>
  <c r="F23" i="4"/>
  <c r="J26" i="4"/>
  <c r="J27" i="4"/>
  <c r="F31" i="4"/>
  <c r="I32" i="4"/>
  <c r="J32" i="4" s="1"/>
  <c r="F36" i="4"/>
  <c r="J31" i="4"/>
  <c r="W30" i="7"/>
  <c r="AC30" i="1" s="1"/>
  <c r="AC24" i="1"/>
  <c r="W33" i="7"/>
  <c r="AC33" i="1" s="1"/>
  <c r="W34" i="7"/>
  <c r="AC34" i="1" s="1"/>
  <c r="W36" i="7"/>
  <c r="AC36" i="1" s="1"/>
  <c r="W37" i="7"/>
  <c r="AC37" i="1" s="1"/>
  <c r="AC26" i="1"/>
  <c r="J18" i="4"/>
  <c r="W19" i="7"/>
  <c r="AC19" i="1" s="1"/>
  <c r="W21" i="7"/>
  <c r="AC21" i="1" s="1"/>
  <c r="W16" i="7"/>
  <c r="AC16" i="1" s="1"/>
  <c r="W17" i="7"/>
  <c r="AC17" i="1" s="1"/>
  <c r="W15" i="7"/>
  <c r="AC15" i="1" s="1"/>
  <c r="Y36" i="7"/>
  <c r="AE36" i="1" s="1"/>
  <c r="Z33" i="7"/>
  <c r="Z32" i="7"/>
  <c r="Y33" i="7"/>
  <c r="AE33" i="1" s="1"/>
  <c r="F33" i="4"/>
  <c r="F35" i="4"/>
  <c r="F26" i="4"/>
  <c r="I19" i="4"/>
  <c r="F19" i="4" s="1"/>
  <c r="I20" i="4"/>
  <c r="F20" i="4" s="1"/>
  <c r="I15" i="4"/>
  <c r="J15" i="4" s="1"/>
  <c r="I16" i="4"/>
  <c r="J16" i="4" s="1"/>
  <c r="I13" i="4"/>
  <c r="I17" i="4"/>
  <c r="Z20" i="7"/>
  <c r="I14" i="4"/>
  <c r="F18" i="4"/>
  <c r="F1" i="2"/>
  <c r="F2" i="2"/>
  <c r="Z37" i="7" l="1"/>
  <c r="Y37" i="7"/>
  <c r="AE37" i="1" s="1"/>
  <c r="Z34" i="7"/>
  <c r="Y18" i="7"/>
  <c r="AE18" i="1" s="1"/>
  <c r="AC31" i="1"/>
  <c r="Y32" i="7"/>
  <c r="AE32" i="1" s="1"/>
  <c r="Z31" i="7"/>
  <c r="AE24" i="1"/>
  <c r="J22" i="4"/>
  <c r="Z35" i="7"/>
  <c r="AE27" i="1"/>
  <c r="Y35" i="7"/>
  <c r="AE35" i="1" s="1"/>
  <c r="Y30" i="7"/>
  <c r="AE30" i="1" s="1"/>
  <c r="Z30" i="7"/>
  <c r="AE28" i="1"/>
  <c r="F25" i="4"/>
  <c r="J24" i="4"/>
  <c r="Y34" i="7"/>
  <c r="AE34" i="1" s="1"/>
  <c r="F30" i="4"/>
  <c r="F32" i="4"/>
  <c r="J23" i="4"/>
  <c r="J34" i="4"/>
  <c r="AE26" i="1"/>
  <c r="Z19" i="7"/>
  <c r="Y21" i="7"/>
  <c r="AE21" i="1" s="1"/>
  <c r="J20" i="4"/>
  <c r="J19" i="4"/>
  <c r="F17" i="4"/>
  <c r="J17" i="4"/>
  <c r="Z16" i="7"/>
  <c r="Y16" i="7"/>
  <c r="AE16" i="1" s="1"/>
  <c r="F15" i="4"/>
  <c r="Y17" i="7"/>
  <c r="AE17" i="1" s="1"/>
  <c r="F16" i="4"/>
  <c r="Z17" i="7"/>
  <c r="F14" i="4"/>
  <c r="J14" i="4"/>
  <c r="Z15" i="7"/>
  <c r="Y15" i="7"/>
  <c r="AE15" i="1" s="1"/>
  <c r="F13" i="4"/>
  <c r="J13" i="4"/>
  <c r="Z36" i="7"/>
  <c r="Z18" i="7"/>
  <c r="Y19" i="7"/>
  <c r="AE19" i="1" s="1"/>
  <c r="Y20" i="7"/>
  <c r="AE20" i="1" s="1"/>
  <c r="Z21" i="7"/>
  <c r="AO21" i="1"/>
  <c r="AO20" i="1"/>
  <c r="AO19" i="1"/>
  <c r="AO18" i="1"/>
  <c r="AO17" i="1"/>
  <c r="AO16" i="1"/>
  <c r="AO15" i="1"/>
  <c r="AO14" i="1"/>
  <c r="P64" i="1"/>
  <c r="P29" i="1"/>
  <c r="P22" i="1"/>
  <c r="P13" i="1"/>
  <c r="P3" i="1"/>
  <c r="O29" i="1"/>
  <c r="O22" i="1"/>
  <c r="O13" i="1"/>
  <c r="O3" i="1"/>
  <c r="V36" i="1"/>
  <c r="V35" i="1"/>
  <c r="V34" i="1"/>
  <c r="V33" i="1"/>
  <c r="V32" i="1"/>
  <c r="V31" i="1"/>
  <c r="V30" i="1"/>
  <c r="V37" i="1"/>
  <c r="R36" i="1"/>
  <c r="R35" i="1"/>
  <c r="R34" i="1"/>
  <c r="R33" i="1"/>
  <c r="R32" i="1"/>
  <c r="R31" i="1"/>
  <c r="R30" i="1"/>
  <c r="R37" i="1"/>
  <c r="L36" i="1"/>
  <c r="L35" i="1"/>
  <c r="L34" i="1"/>
  <c r="L33" i="1"/>
  <c r="L32" i="1"/>
  <c r="L31" i="1"/>
  <c r="L37" i="1"/>
  <c r="L30" i="1"/>
  <c r="V27" i="1"/>
  <c r="V26" i="1"/>
  <c r="V25" i="1"/>
  <c r="V24" i="1"/>
  <c r="V28" i="1"/>
  <c r="V23" i="1"/>
  <c r="R27" i="1"/>
  <c r="R26" i="1"/>
  <c r="R25" i="1"/>
  <c r="R24" i="1"/>
  <c r="L27" i="1"/>
  <c r="L26" i="1"/>
  <c r="L25" i="1"/>
  <c r="L24" i="1"/>
  <c r="R28" i="1"/>
  <c r="R23" i="1"/>
  <c r="L23" i="1"/>
  <c r="L28" i="1"/>
  <c r="F36" i="1"/>
  <c r="F35" i="1"/>
  <c r="F34" i="1"/>
  <c r="F33" i="1"/>
  <c r="F32" i="1"/>
  <c r="F31" i="1"/>
  <c r="F30" i="1"/>
  <c r="F37" i="1"/>
  <c r="F27" i="1"/>
  <c r="F26" i="1"/>
  <c r="F25" i="1"/>
  <c r="F24" i="1"/>
  <c r="F28" i="1"/>
  <c r="F23" i="1"/>
  <c r="V21" i="1"/>
  <c r="V20" i="1"/>
  <c r="V19" i="1"/>
  <c r="V18" i="1"/>
  <c r="V17" i="1"/>
  <c r="V15" i="1"/>
  <c r="V14" i="1"/>
  <c r="R21" i="1"/>
  <c r="R20" i="1"/>
  <c r="R19" i="1"/>
  <c r="R18" i="1"/>
  <c r="R17" i="1"/>
  <c r="R16" i="1"/>
  <c r="R15" i="1"/>
  <c r="R14" i="1"/>
  <c r="L21" i="1"/>
  <c r="L20" i="1"/>
  <c r="L19" i="1"/>
  <c r="L18" i="1"/>
  <c r="L17" i="1"/>
  <c r="L16" i="1"/>
  <c r="L15" i="1"/>
  <c r="L14" i="1"/>
  <c r="F20" i="1"/>
  <c r="F19" i="1"/>
  <c r="F18" i="1"/>
  <c r="F17" i="1"/>
  <c r="F16" i="1"/>
  <c r="F15" i="1"/>
  <c r="F21" i="1"/>
  <c r="F14" i="1"/>
  <c r="BB14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8" i="1"/>
  <c r="BB27" i="1"/>
  <c r="BB26" i="1"/>
  <c r="BB25" i="1"/>
  <c r="BB24" i="1"/>
  <c r="BB23" i="1"/>
  <c r="BB21" i="1"/>
  <c r="BB20" i="1"/>
  <c r="BB19" i="1"/>
  <c r="BB18" i="1"/>
  <c r="BB17" i="1"/>
  <c r="BB16" i="1"/>
  <c r="BB15" i="1"/>
  <c r="D29" i="1"/>
  <c r="E29" i="1"/>
  <c r="G29" i="1"/>
  <c r="H29" i="1"/>
  <c r="I29" i="1"/>
  <c r="J29" i="1"/>
  <c r="K29" i="1"/>
  <c r="M29" i="1"/>
  <c r="N29" i="1"/>
  <c r="Q29" i="1"/>
  <c r="S29" i="1"/>
  <c r="T29" i="1"/>
  <c r="U29" i="1"/>
  <c r="W29" i="1"/>
  <c r="X29" i="1"/>
  <c r="Y29" i="1"/>
  <c r="Z29" i="1"/>
  <c r="AA29" i="1"/>
  <c r="AB29" i="1"/>
  <c r="AC29" i="1"/>
  <c r="AD29" i="1"/>
  <c r="AF29" i="1"/>
  <c r="AG29" i="1"/>
  <c r="AH29" i="1"/>
  <c r="AI29" i="1"/>
  <c r="AJ29" i="1"/>
  <c r="AK29" i="1"/>
  <c r="AM29" i="1"/>
  <c r="AN29" i="1"/>
  <c r="AO29" i="1"/>
  <c r="AP29" i="1"/>
  <c r="C29" i="1"/>
  <c r="D22" i="1"/>
  <c r="E22" i="1"/>
  <c r="G22" i="1"/>
  <c r="H22" i="1"/>
  <c r="I22" i="1"/>
  <c r="J22" i="1"/>
  <c r="K22" i="1"/>
  <c r="M22" i="1"/>
  <c r="N22" i="1"/>
  <c r="Q22" i="1"/>
  <c r="S22" i="1"/>
  <c r="T22" i="1"/>
  <c r="U22" i="1"/>
  <c r="W22" i="1"/>
  <c r="X22" i="1"/>
  <c r="Y22" i="1"/>
  <c r="Z22" i="1"/>
  <c r="AA22" i="1"/>
  <c r="AB22" i="1"/>
  <c r="AC22" i="1"/>
  <c r="AD22" i="1"/>
  <c r="AF22" i="1"/>
  <c r="AG22" i="1"/>
  <c r="AH22" i="1"/>
  <c r="AI22" i="1"/>
  <c r="AJ22" i="1"/>
  <c r="AK22" i="1"/>
  <c r="AM22" i="1"/>
  <c r="AN22" i="1"/>
  <c r="AO22" i="1"/>
  <c r="AP22" i="1"/>
  <c r="C22" i="1"/>
  <c r="D13" i="1"/>
  <c r="E13" i="1"/>
  <c r="G13" i="1"/>
  <c r="H13" i="1"/>
  <c r="I13" i="1"/>
  <c r="J13" i="1"/>
  <c r="K13" i="1"/>
  <c r="M13" i="1"/>
  <c r="N13" i="1"/>
  <c r="Q13" i="1"/>
  <c r="S13" i="1"/>
  <c r="T13" i="1"/>
  <c r="U13" i="1"/>
  <c r="W13" i="1"/>
  <c r="X13" i="1"/>
  <c r="Y13" i="1"/>
  <c r="Z13" i="1"/>
  <c r="AA13" i="1"/>
  <c r="AB13" i="1"/>
  <c r="AC13" i="1"/>
  <c r="AD13" i="1"/>
  <c r="AF13" i="1"/>
  <c r="AH13" i="1"/>
  <c r="AI13" i="1"/>
  <c r="AJ13" i="1"/>
  <c r="AK13" i="1"/>
  <c r="AM13" i="1"/>
  <c r="AN13" i="1"/>
  <c r="AP13" i="1"/>
  <c r="C13" i="1"/>
  <c r="AB9" i="1"/>
  <c r="V9" i="1"/>
  <c r="G3" i="1"/>
  <c r="H3" i="1"/>
  <c r="I3" i="1"/>
  <c r="J3" i="1"/>
  <c r="K3" i="1"/>
  <c r="M3" i="1"/>
  <c r="N3" i="1"/>
  <c r="Q3" i="1"/>
  <c r="S3" i="1"/>
  <c r="T3" i="1"/>
  <c r="U3" i="1"/>
  <c r="W3" i="1"/>
  <c r="D3" i="1"/>
  <c r="E3" i="1"/>
  <c r="C3" i="1"/>
  <c r="BB61" i="1"/>
  <c r="BB62" i="1"/>
  <c r="BB63" i="1"/>
  <c r="BB60" i="1"/>
  <c r="BB5" i="1"/>
  <c r="BB6" i="1"/>
  <c r="BB7" i="1"/>
  <c r="BB8" i="1"/>
  <c r="BB9" i="1"/>
  <c r="BB10" i="1"/>
  <c r="BB11" i="1"/>
  <c r="BB12" i="1"/>
  <c r="BB4" i="1"/>
  <c r="D7" i="9"/>
  <c r="C7" i="9"/>
  <c r="I8" i="9"/>
  <c r="I9" i="9" s="1"/>
  <c r="G8" i="9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F8" i="9"/>
  <c r="AE22" i="1" l="1"/>
  <c r="AE29" i="1"/>
  <c r="L29" i="1"/>
  <c r="C8" i="9"/>
  <c r="B7" i="9"/>
  <c r="F22" i="1"/>
  <c r="L22" i="1"/>
  <c r="AO13" i="1"/>
  <c r="R13" i="1"/>
  <c r="R22" i="1"/>
  <c r="L13" i="1"/>
  <c r="F29" i="1"/>
  <c r="R29" i="1"/>
  <c r="V22" i="1"/>
  <c r="V29" i="1"/>
  <c r="F13" i="1"/>
  <c r="V13" i="1"/>
  <c r="F9" i="9"/>
  <c r="I10" i="9"/>
  <c r="D9" i="9"/>
  <c r="D8" i="9"/>
  <c r="B8" i="9" s="1"/>
  <c r="G76" i="9"/>
  <c r="N64" i="1"/>
  <c r="Q64" i="1"/>
  <c r="M64" i="1"/>
  <c r="L5" i="1"/>
  <c r="L6" i="1"/>
  <c r="L7" i="1"/>
  <c r="L8" i="1"/>
  <c r="L9" i="1"/>
  <c r="L10" i="1"/>
  <c r="L11" i="1"/>
  <c r="L12" i="1"/>
  <c r="L4" i="1"/>
  <c r="R5" i="1"/>
  <c r="R6" i="1"/>
  <c r="R7" i="1"/>
  <c r="R8" i="1"/>
  <c r="R9" i="1"/>
  <c r="R10" i="1"/>
  <c r="R11" i="1"/>
  <c r="R12" i="1"/>
  <c r="R4" i="1"/>
  <c r="B19" i="8"/>
  <c r="A24" i="8" s="1"/>
  <c r="B67" i="8"/>
  <c r="B71" i="8" s="1"/>
  <c r="F56" i="8"/>
  <c r="C57" i="8"/>
  <c r="C56" i="8" s="1"/>
  <c r="V11" i="8"/>
  <c r="U11" i="8"/>
  <c r="H11" i="8"/>
  <c r="G11" i="8"/>
  <c r="F11" i="8"/>
  <c r="E11" i="8"/>
  <c r="V10" i="8"/>
  <c r="U10" i="8"/>
  <c r="H10" i="8"/>
  <c r="G10" i="8"/>
  <c r="F10" i="8"/>
  <c r="E10" i="8"/>
  <c r="V9" i="8"/>
  <c r="U9" i="8"/>
  <c r="H9" i="8"/>
  <c r="G9" i="8"/>
  <c r="F9" i="8"/>
  <c r="E9" i="8"/>
  <c r="V8" i="8"/>
  <c r="U8" i="8"/>
  <c r="H8" i="8"/>
  <c r="G8" i="8"/>
  <c r="F8" i="8"/>
  <c r="E8" i="8"/>
  <c r="V7" i="8"/>
  <c r="U7" i="8"/>
  <c r="H7" i="8"/>
  <c r="G7" i="8"/>
  <c r="F7" i="8"/>
  <c r="E7" i="8"/>
  <c r="V6" i="8"/>
  <c r="U6" i="8"/>
  <c r="H6" i="8"/>
  <c r="G6" i="8"/>
  <c r="F6" i="8"/>
  <c r="E6" i="8"/>
  <c r="V5" i="8"/>
  <c r="U5" i="8"/>
  <c r="H5" i="8"/>
  <c r="G5" i="8"/>
  <c r="F5" i="8"/>
  <c r="E5" i="8"/>
  <c r="V4" i="8"/>
  <c r="U4" i="8"/>
  <c r="H4" i="8"/>
  <c r="G4" i="8"/>
  <c r="F4" i="8"/>
  <c r="E4" i="8"/>
  <c r="V3" i="8"/>
  <c r="U3" i="8"/>
  <c r="H3" i="8"/>
  <c r="G3" i="8"/>
  <c r="F3" i="8"/>
  <c r="E3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E49" i="8" a="1"/>
  <c r="E49" i="8" s="1"/>
  <c r="Q48" i="8"/>
  <c r="Q47" i="8"/>
  <c r="Q46" i="8"/>
  <c r="Q45" i="8"/>
  <c r="Q44" i="8"/>
  <c r="Q43" i="8"/>
  <c r="Q42" i="8"/>
  <c r="Q41" i="8"/>
  <c r="B41" i="8"/>
  <c r="B42" i="8" s="1"/>
  <c r="Q40" i="8"/>
  <c r="F40" i="8"/>
  <c r="Q39" i="8"/>
  <c r="F39" i="8"/>
  <c r="Q38" i="8"/>
  <c r="F38" i="8"/>
  <c r="Q37" i="8"/>
  <c r="Q36" i="8"/>
  <c r="Q35" i="8"/>
  <c r="Q34" i="8"/>
  <c r="Q33" i="8"/>
  <c r="Q32" i="8"/>
  <c r="Q31" i="8"/>
  <c r="Q30" i="8"/>
  <c r="C30" i="8"/>
  <c r="Q29" i="8"/>
  <c r="Q28" i="8"/>
  <c r="Q27" i="8"/>
  <c r="Q26" i="8"/>
  <c r="Q25" i="8"/>
  <c r="Q24" i="8"/>
  <c r="Q23" i="8"/>
  <c r="Q22" i="8"/>
  <c r="Q21" i="8"/>
  <c r="Q20" i="8"/>
  <c r="G20" i="8"/>
  <c r="B30" i="8" s="1"/>
  <c r="D53" i="7"/>
  <c r="I46" i="7" s="1"/>
  <c r="AA54" i="7"/>
  <c r="Z57" i="7" s="1"/>
  <c r="I3" i="7"/>
  <c r="G1" i="2"/>
  <c r="G3" i="2"/>
  <c r="X7" i="1"/>
  <c r="B100" i="2"/>
  <c r="C100" i="2"/>
  <c r="D100" i="2"/>
  <c r="E4" i="4"/>
  <c r="E5" i="4"/>
  <c r="E7" i="4"/>
  <c r="E8" i="4"/>
  <c r="E9" i="4"/>
  <c r="E10" i="4"/>
  <c r="E11" i="4"/>
  <c r="E3" i="4"/>
  <c r="E42" i="4" s="1"/>
  <c r="E43" i="4" s="1"/>
  <c r="I4" i="7"/>
  <c r="I5" i="7"/>
  <c r="I6" i="7"/>
  <c r="I7" i="7"/>
  <c r="I8" i="7"/>
  <c r="I9" i="7"/>
  <c r="I10" i="7"/>
  <c r="I11" i="7"/>
  <c r="AG5" i="1"/>
  <c r="AG6" i="1"/>
  <c r="AG7" i="1"/>
  <c r="AG8" i="1"/>
  <c r="AG9" i="1"/>
  <c r="AG10" i="1"/>
  <c r="AG11" i="1"/>
  <c r="AG12" i="1"/>
  <c r="AG4" i="1"/>
  <c r="AF10" i="1"/>
  <c r="AF9" i="1"/>
  <c r="AF8" i="1"/>
  <c r="AF7" i="1"/>
  <c r="AF6" i="1"/>
  <c r="AF4" i="1"/>
  <c r="AF5" i="1"/>
  <c r="X4" i="7"/>
  <c r="X5" i="7"/>
  <c r="X6" i="7"/>
  <c r="X7" i="7"/>
  <c r="X8" i="7"/>
  <c r="X9" i="7"/>
  <c r="X10" i="7"/>
  <c r="X11" i="7"/>
  <c r="X3" i="7"/>
  <c r="F105" i="4"/>
  <c r="E106" i="4"/>
  <c r="D10" i="2" l="1"/>
  <c r="B10" i="2" s="1"/>
  <c r="D7" i="2"/>
  <c r="B7" i="2" s="1"/>
  <c r="D6" i="2"/>
  <c r="B6" i="2" s="1"/>
  <c r="D9" i="2"/>
  <c r="B9" i="2" s="1"/>
  <c r="D3" i="2"/>
  <c r="B3" i="2" s="1"/>
  <c r="D8" i="2"/>
  <c r="B8" i="2" s="1"/>
  <c r="D4" i="2"/>
  <c r="B4" i="2" s="1"/>
  <c r="D1" i="2"/>
  <c r="B1" i="2" s="1"/>
  <c r="D5" i="2"/>
  <c r="B5" i="2" s="1"/>
  <c r="D12" i="2"/>
  <c r="B12" i="2" s="1"/>
  <c r="D2" i="2"/>
  <c r="B2" i="2" s="1"/>
  <c r="D11" i="2"/>
  <c r="B11" i="2" s="1"/>
  <c r="R3" i="1"/>
  <c r="AF3" i="1"/>
  <c r="L3" i="1"/>
  <c r="C9" i="9"/>
  <c r="B9" i="9" s="1"/>
  <c r="F10" i="9"/>
  <c r="I11" i="9"/>
  <c r="D10" i="9"/>
  <c r="G77" i="9"/>
  <c r="A25" i="8"/>
  <c r="B25" i="8" s="1"/>
  <c r="B72" i="8"/>
  <c r="B73" i="8" s="1"/>
  <c r="W6" i="8"/>
  <c r="W8" i="8"/>
  <c r="W10" i="8"/>
  <c r="B62" i="8"/>
  <c r="B56" i="8"/>
  <c r="E56" i="8" s="1"/>
  <c r="F59" i="8" s="1"/>
  <c r="W4" i="8"/>
  <c r="W3" i="8"/>
  <c r="W5" i="8"/>
  <c r="W7" i="8"/>
  <c r="W9" i="8"/>
  <c r="W11" i="8"/>
  <c r="C31" i="8"/>
  <c r="C32" i="8" s="1"/>
  <c r="G38" i="8"/>
  <c r="B49" i="8" s="1"/>
  <c r="G2" i="2"/>
  <c r="AA56" i="7"/>
  <c r="I47" i="7"/>
  <c r="I50" i="7"/>
  <c r="I51" i="7"/>
  <c r="I48" i="7"/>
  <c r="I49" i="7"/>
  <c r="I52" i="7"/>
  <c r="F106" i="4"/>
  <c r="U3" i="7"/>
  <c r="U4" i="7"/>
  <c r="U5" i="7"/>
  <c r="U6" i="7"/>
  <c r="U7" i="7"/>
  <c r="U8" i="7"/>
  <c r="U9" i="7"/>
  <c r="U10" i="7"/>
  <c r="U11" i="7"/>
  <c r="F5" i="2" l="1"/>
  <c r="E2" i="2"/>
  <c r="E5" i="2"/>
  <c r="F11" i="9"/>
  <c r="C10" i="9"/>
  <c r="B10" i="9" s="1"/>
  <c r="I12" i="9"/>
  <c r="D11" i="9"/>
  <c r="G78" i="9"/>
  <c r="E59" i="8"/>
  <c r="B24" i="8"/>
  <c r="H38" i="8" s="1"/>
  <c r="W44" i="4"/>
  <c r="W45" i="4"/>
  <c r="W46" i="4"/>
  <c r="V46" i="4" s="1"/>
  <c r="W47" i="4"/>
  <c r="V47" i="4" s="1"/>
  <c r="W48" i="4"/>
  <c r="V48" i="4" s="1"/>
  <c r="W49" i="4"/>
  <c r="V49" i="4" s="1"/>
  <c r="W50" i="4"/>
  <c r="W51" i="4"/>
  <c r="V51" i="4" s="1"/>
  <c r="W52" i="4"/>
  <c r="V52" i="4" s="1"/>
  <c r="W53" i="4"/>
  <c r="V53" i="4" s="1"/>
  <c r="W54" i="4"/>
  <c r="W55" i="4"/>
  <c r="V55" i="4" s="1"/>
  <c r="W56" i="4"/>
  <c r="V56" i="4" s="1"/>
  <c r="W57" i="4"/>
  <c r="V57" i="4" s="1"/>
  <c r="W58" i="4"/>
  <c r="W59" i="4"/>
  <c r="V59" i="4" s="1"/>
  <c r="W60" i="4"/>
  <c r="V60" i="4" s="1"/>
  <c r="W61" i="4"/>
  <c r="V61" i="4" s="1"/>
  <c r="W62" i="4"/>
  <c r="W63" i="4"/>
  <c r="V63" i="4" s="1"/>
  <c r="W64" i="4"/>
  <c r="V64" i="4" s="1"/>
  <c r="W65" i="4"/>
  <c r="V65" i="4" s="1"/>
  <c r="W66" i="4"/>
  <c r="W67" i="4"/>
  <c r="V67" i="4" s="1"/>
  <c r="W68" i="4"/>
  <c r="V68" i="4" s="1"/>
  <c r="W69" i="4"/>
  <c r="V69" i="4" s="1"/>
  <c r="W70" i="4"/>
  <c r="W71" i="4"/>
  <c r="V71" i="4" s="1"/>
  <c r="W72" i="4"/>
  <c r="V72" i="4" s="1"/>
  <c r="W73" i="4"/>
  <c r="V73" i="4" s="1"/>
  <c r="W74" i="4"/>
  <c r="W75" i="4"/>
  <c r="V75" i="4" s="1"/>
  <c r="W76" i="4"/>
  <c r="V76" i="4" s="1"/>
  <c r="W77" i="4"/>
  <c r="V77" i="4" s="1"/>
  <c r="W78" i="4"/>
  <c r="W79" i="4"/>
  <c r="V79" i="4" s="1"/>
  <c r="W80" i="4"/>
  <c r="V80" i="4" s="1"/>
  <c r="W81" i="4"/>
  <c r="V81" i="4" s="1"/>
  <c r="W82" i="4"/>
  <c r="W83" i="4"/>
  <c r="V83" i="4" s="1"/>
  <c r="W84" i="4"/>
  <c r="V84" i="4" s="1"/>
  <c r="W85" i="4"/>
  <c r="V85" i="4" s="1"/>
  <c r="W86" i="4"/>
  <c r="W87" i="4"/>
  <c r="V87" i="4" s="1"/>
  <c r="W88" i="4"/>
  <c r="V88" i="4" s="1"/>
  <c r="W89" i="4"/>
  <c r="V89" i="4" s="1"/>
  <c r="W90" i="4"/>
  <c r="W91" i="4"/>
  <c r="V91" i="4" s="1"/>
  <c r="W92" i="4"/>
  <c r="V92" i="4" s="1"/>
  <c r="W93" i="4"/>
  <c r="V93" i="4" s="1"/>
  <c r="W94" i="4"/>
  <c r="W95" i="4"/>
  <c r="V95" i="4" s="1"/>
  <c r="W96" i="4"/>
  <c r="V96" i="4" s="1"/>
  <c r="W97" i="4"/>
  <c r="V97" i="4" s="1"/>
  <c r="W98" i="4"/>
  <c r="W99" i="4"/>
  <c r="V99" i="4" s="1"/>
  <c r="W100" i="4"/>
  <c r="V100" i="4" s="1"/>
  <c r="W101" i="4"/>
  <c r="V101" i="4" s="1"/>
  <c r="W102" i="4"/>
  <c r="W103" i="4"/>
  <c r="V103" i="4" s="1"/>
  <c r="W104" i="4"/>
  <c r="V104" i="4" s="1"/>
  <c r="W105" i="4"/>
  <c r="V105" i="4" s="1"/>
  <c r="W106" i="4"/>
  <c r="W107" i="4"/>
  <c r="V107" i="4" s="1"/>
  <c r="W108" i="4"/>
  <c r="V108" i="4" s="1"/>
  <c r="W109" i="4"/>
  <c r="V109" i="4" s="1"/>
  <c r="W110" i="4"/>
  <c r="W111" i="4"/>
  <c r="V111" i="4" s="1"/>
  <c r="W112" i="4"/>
  <c r="V112" i="4" s="1"/>
  <c r="W113" i="4"/>
  <c r="V113" i="4" s="1"/>
  <c r="W114" i="4"/>
  <c r="W115" i="4"/>
  <c r="V115" i="4" s="1"/>
  <c r="W116" i="4"/>
  <c r="V116" i="4" s="1"/>
  <c r="W117" i="4"/>
  <c r="V117" i="4" s="1"/>
  <c r="W118" i="4"/>
  <c r="W119" i="4"/>
  <c r="V119" i="4" s="1"/>
  <c r="W120" i="4"/>
  <c r="V120" i="4" s="1"/>
  <c r="W121" i="4"/>
  <c r="V121" i="4" s="1"/>
  <c r="W122" i="4"/>
  <c r="W123" i="4"/>
  <c r="V123" i="4" s="1"/>
  <c r="W124" i="4"/>
  <c r="V124" i="4" s="1"/>
  <c r="W125" i="4"/>
  <c r="V125" i="4" s="1"/>
  <c r="W126" i="4"/>
  <c r="W127" i="4"/>
  <c r="V127" i="4" s="1"/>
  <c r="W128" i="4"/>
  <c r="V128" i="4" s="1"/>
  <c r="W129" i="4"/>
  <c r="V129" i="4" s="1"/>
  <c r="W130" i="4"/>
  <c r="W131" i="4"/>
  <c r="V131" i="4" s="1"/>
  <c r="W132" i="4"/>
  <c r="V132" i="4" s="1"/>
  <c r="W133" i="4"/>
  <c r="V133" i="4" s="1"/>
  <c r="W134" i="4"/>
  <c r="W135" i="4"/>
  <c r="V135" i="4" s="1"/>
  <c r="W136" i="4"/>
  <c r="V136" i="4" s="1"/>
  <c r="W137" i="4"/>
  <c r="V137" i="4" s="1"/>
  <c r="W138" i="4"/>
  <c r="W139" i="4"/>
  <c r="V139" i="4" s="1"/>
  <c r="W140" i="4"/>
  <c r="V140" i="4" s="1"/>
  <c r="W141" i="4"/>
  <c r="V141" i="4" s="1"/>
  <c r="W142" i="4"/>
  <c r="W143" i="4"/>
  <c r="V143" i="4" s="1"/>
  <c r="W144" i="4"/>
  <c r="V144" i="4" s="1"/>
  <c r="W145" i="4"/>
  <c r="V145" i="4" s="1"/>
  <c r="W146" i="4"/>
  <c r="W147" i="4"/>
  <c r="V147" i="4" s="1"/>
  <c r="W148" i="4"/>
  <c r="V148" i="4" s="1"/>
  <c r="W149" i="4"/>
  <c r="V149" i="4" s="1"/>
  <c r="W150" i="4"/>
  <c r="W151" i="4"/>
  <c r="V151" i="4" s="1"/>
  <c r="W152" i="4"/>
  <c r="V152" i="4" s="1"/>
  <c r="W153" i="4"/>
  <c r="V153" i="4" s="1"/>
  <c r="W154" i="4"/>
  <c r="W155" i="4"/>
  <c r="V155" i="4" s="1"/>
  <c r="W156" i="4"/>
  <c r="V156" i="4" s="1"/>
  <c r="W157" i="4"/>
  <c r="V157" i="4" s="1"/>
  <c r="W158" i="4"/>
  <c r="W159" i="4"/>
  <c r="V159" i="4" s="1"/>
  <c r="W160" i="4"/>
  <c r="V160" i="4" s="1"/>
  <c r="W161" i="4"/>
  <c r="V161" i="4" s="1"/>
  <c r="W162" i="4"/>
  <c r="W163" i="4"/>
  <c r="V163" i="4" s="1"/>
  <c r="W164" i="4"/>
  <c r="V164" i="4" s="1"/>
  <c r="W165" i="4"/>
  <c r="V165" i="4" s="1"/>
  <c r="W166" i="4"/>
  <c r="W167" i="4"/>
  <c r="V167" i="4" s="1"/>
  <c r="W168" i="4"/>
  <c r="V168" i="4" s="1"/>
  <c r="W169" i="4"/>
  <c r="V169" i="4" s="1"/>
  <c r="W170" i="4"/>
  <c r="W171" i="4"/>
  <c r="V171" i="4" s="1"/>
  <c r="W172" i="4"/>
  <c r="V172" i="4" s="1"/>
  <c r="W173" i="4"/>
  <c r="V173" i="4" s="1"/>
  <c r="W174" i="4"/>
  <c r="W175" i="4"/>
  <c r="V175" i="4" s="1"/>
  <c r="W176" i="4"/>
  <c r="V176" i="4" s="1"/>
  <c r="W177" i="4"/>
  <c r="V177" i="4" s="1"/>
  <c r="W178" i="4"/>
  <c r="W179" i="4"/>
  <c r="V179" i="4" s="1"/>
  <c r="W180" i="4"/>
  <c r="V180" i="4" s="1"/>
  <c r="W181" i="4"/>
  <c r="V181" i="4" s="1"/>
  <c r="W182" i="4"/>
  <c r="W183" i="4"/>
  <c r="V183" i="4" s="1"/>
  <c r="W184" i="4"/>
  <c r="V184" i="4" s="1"/>
  <c r="W185" i="4"/>
  <c r="V185" i="4" s="1"/>
  <c r="W186" i="4"/>
  <c r="W43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43" i="4"/>
  <c r="AA74" i="4"/>
  <c r="F6" i="2" l="1"/>
  <c r="C11" i="9"/>
  <c r="B11" i="9" s="1"/>
  <c r="F12" i="9"/>
  <c r="I13" i="9"/>
  <c r="D12" i="9"/>
  <c r="G79" i="9"/>
  <c r="X3" i="8"/>
  <c r="X4" i="8"/>
  <c r="X5" i="8"/>
  <c r="X6" i="8"/>
  <c r="X8" i="8"/>
  <c r="X11" i="8"/>
  <c r="X10" i="8"/>
  <c r="X7" i="8"/>
  <c r="X9" i="8"/>
  <c r="B50" i="8"/>
  <c r="B48" i="8" s="1"/>
  <c r="D50" i="8" s="1"/>
  <c r="E50" i="8" s="1"/>
  <c r="B31" i="8"/>
  <c r="B32" i="8" s="1"/>
  <c r="V50" i="4"/>
  <c r="V54" i="4" s="1"/>
  <c r="V58" i="4" s="1"/>
  <c r="V62" i="4" s="1"/>
  <c r="V66" i="4" s="1"/>
  <c r="V70" i="4" s="1"/>
  <c r="V74" i="4" s="1"/>
  <c r="V78" i="4" s="1"/>
  <c r="V82" i="4" s="1"/>
  <c r="V86" i="4" s="1"/>
  <c r="V90" i="4" s="1"/>
  <c r="V94" i="4" s="1"/>
  <c r="V98" i="4" s="1"/>
  <c r="V102" i="4" s="1"/>
  <c r="V106" i="4" s="1"/>
  <c r="V110" i="4" s="1"/>
  <c r="V114" i="4" s="1"/>
  <c r="V118" i="4" s="1"/>
  <c r="V122" i="4" s="1"/>
  <c r="V126" i="4" s="1"/>
  <c r="V130" i="4" s="1"/>
  <c r="V134" i="4" s="1"/>
  <c r="V138" i="4" s="1"/>
  <c r="V142" i="4" s="1"/>
  <c r="V146" i="4" s="1"/>
  <c r="V150" i="4" s="1"/>
  <c r="V154" i="4" s="1"/>
  <c r="V158" i="4" s="1"/>
  <c r="V162" i="4" s="1"/>
  <c r="V166" i="4" s="1"/>
  <c r="V170" i="4" s="1"/>
  <c r="V174" i="4" s="1"/>
  <c r="V178" i="4" s="1"/>
  <c r="V182" i="4" s="1"/>
  <c r="V186" i="4" s="1"/>
  <c r="V4" i="7"/>
  <c r="V5" i="7"/>
  <c r="V6" i="7"/>
  <c r="V7" i="7"/>
  <c r="V8" i="7"/>
  <c r="V9" i="7"/>
  <c r="V10" i="7"/>
  <c r="V11" i="7"/>
  <c r="V3" i="7"/>
  <c r="AA5" i="1"/>
  <c r="AB5" i="1"/>
  <c r="AA6" i="1"/>
  <c r="AB6" i="1"/>
  <c r="AA7" i="1"/>
  <c r="AB7" i="1"/>
  <c r="AA8" i="1"/>
  <c r="AB8" i="1"/>
  <c r="AA9" i="1"/>
  <c r="AD9" i="1"/>
  <c r="AA10" i="1"/>
  <c r="AB10" i="1"/>
  <c r="AA11" i="1"/>
  <c r="AB11" i="1"/>
  <c r="AA12" i="1"/>
  <c r="AB12" i="1"/>
  <c r="AB4" i="1"/>
  <c r="AA4" i="1"/>
  <c r="AO5" i="1"/>
  <c r="AO6" i="1"/>
  <c r="AO8" i="1"/>
  <c r="AO9" i="1"/>
  <c r="AO10" i="1"/>
  <c r="AO11" i="1"/>
  <c r="AO12" i="1"/>
  <c r="AO4" i="1"/>
  <c r="Y5" i="1"/>
  <c r="Y6" i="1"/>
  <c r="Y7" i="1"/>
  <c r="Y8" i="1"/>
  <c r="Y9" i="1"/>
  <c r="Y10" i="1"/>
  <c r="Y11" i="1"/>
  <c r="Y12" i="1"/>
  <c r="Y4" i="1"/>
  <c r="C41" i="4"/>
  <c r="C40" i="4"/>
  <c r="H4" i="4"/>
  <c r="H5" i="4"/>
  <c r="H6" i="4"/>
  <c r="H7" i="4"/>
  <c r="H8" i="4"/>
  <c r="H9" i="4"/>
  <c r="H10" i="4"/>
  <c r="H11" i="4"/>
  <c r="H3" i="4"/>
  <c r="P3" i="4" s="1"/>
  <c r="AD5" i="1"/>
  <c r="AD6" i="1"/>
  <c r="AD7" i="1"/>
  <c r="AD8" i="1"/>
  <c r="AD10" i="1"/>
  <c r="AD11" i="1"/>
  <c r="AD12" i="1"/>
  <c r="AD4" i="1"/>
  <c r="F4" i="7"/>
  <c r="G4" i="7"/>
  <c r="H4" i="7"/>
  <c r="F5" i="7"/>
  <c r="G5" i="7"/>
  <c r="H5" i="7"/>
  <c r="F6" i="7"/>
  <c r="G6" i="7"/>
  <c r="H6" i="7"/>
  <c r="F7" i="7"/>
  <c r="G7" i="7"/>
  <c r="H7" i="7"/>
  <c r="F8" i="7"/>
  <c r="G8" i="7"/>
  <c r="H8" i="7"/>
  <c r="F9" i="7"/>
  <c r="G9" i="7"/>
  <c r="H9" i="7"/>
  <c r="F10" i="7"/>
  <c r="G10" i="7"/>
  <c r="H10" i="7"/>
  <c r="F11" i="7"/>
  <c r="G11" i="7"/>
  <c r="H11" i="7"/>
  <c r="G3" i="7"/>
  <c r="H3" i="7"/>
  <c r="F3" i="7"/>
  <c r="W3" i="7" s="1"/>
  <c r="Z4" i="1"/>
  <c r="Z5" i="1"/>
  <c r="Z6" i="1"/>
  <c r="Z7" i="1"/>
  <c r="Z8" i="1"/>
  <c r="Z9" i="1"/>
  <c r="Z10" i="1"/>
  <c r="Z11" i="1"/>
  <c r="Z12" i="1"/>
  <c r="X12" i="1"/>
  <c r="X11" i="1"/>
  <c r="X10" i="1"/>
  <c r="X9" i="1"/>
  <c r="X8" i="1"/>
  <c r="X6" i="1"/>
  <c r="X5" i="1"/>
  <c r="X4" i="1"/>
  <c r="M44" i="4"/>
  <c r="A44" i="4" s="1"/>
  <c r="M45" i="4"/>
  <c r="A45" i="4" s="1"/>
  <c r="M46" i="4"/>
  <c r="A46" i="4" s="1"/>
  <c r="M47" i="4"/>
  <c r="A47" i="4" s="1"/>
  <c r="M48" i="4"/>
  <c r="A48" i="4" s="1"/>
  <c r="M49" i="4"/>
  <c r="A49" i="4" s="1"/>
  <c r="M50" i="4"/>
  <c r="A50" i="4" s="1"/>
  <c r="M51" i="4"/>
  <c r="N51" i="4" s="1"/>
  <c r="M52" i="4"/>
  <c r="A52" i="4" s="1"/>
  <c r="M53" i="4"/>
  <c r="A53" i="4" s="1"/>
  <c r="M54" i="4"/>
  <c r="A54" i="4" s="1"/>
  <c r="M55" i="4"/>
  <c r="N55" i="4" s="1"/>
  <c r="M56" i="4"/>
  <c r="A56" i="4" s="1"/>
  <c r="M57" i="4"/>
  <c r="A57" i="4" s="1"/>
  <c r="M58" i="4"/>
  <c r="A58" i="4" s="1"/>
  <c r="M59" i="4"/>
  <c r="K59" i="4" s="1"/>
  <c r="L59" i="4" s="1"/>
  <c r="M60" i="4"/>
  <c r="A60" i="4" s="1"/>
  <c r="M61" i="4"/>
  <c r="A61" i="4" s="1"/>
  <c r="M62" i="4"/>
  <c r="A62" i="4" s="1"/>
  <c r="M63" i="4"/>
  <c r="K63" i="4" s="1"/>
  <c r="L63" i="4" s="1"/>
  <c r="M64" i="4"/>
  <c r="A64" i="4" s="1"/>
  <c r="M65" i="4"/>
  <c r="A65" i="4" s="1"/>
  <c r="M66" i="4"/>
  <c r="A66" i="4" s="1"/>
  <c r="M67" i="4"/>
  <c r="K67" i="4" s="1"/>
  <c r="L67" i="4" s="1"/>
  <c r="M68" i="4"/>
  <c r="A68" i="4" s="1"/>
  <c r="M69" i="4"/>
  <c r="N69" i="4" s="1"/>
  <c r="M70" i="4"/>
  <c r="N70" i="4" s="1"/>
  <c r="M71" i="4"/>
  <c r="K71" i="4" s="1"/>
  <c r="L71" i="4" s="1"/>
  <c r="M72" i="4"/>
  <c r="A72" i="4" s="1"/>
  <c r="M73" i="4"/>
  <c r="N73" i="4" s="1"/>
  <c r="M74" i="4"/>
  <c r="A74" i="4" s="1"/>
  <c r="M75" i="4"/>
  <c r="K75" i="4" s="1"/>
  <c r="L75" i="4" s="1"/>
  <c r="M76" i="4"/>
  <c r="A76" i="4" s="1"/>
  <c r="M77" i="4"/>
  <c r="A77" i="4" s="1"/>
  <c r="M78" i="4"/>
  <c r="N78" i="4" s="1"/>
  <c r="M79" i="4"/>
  <c r="K79" i="4" s="1"/>
  <c r="L79" i="4" s="1"/>
  <c r="J79" i="4" s="1"/>
  <c r="M80" i="4"/>
  <c r="A80" i="4" s="1"/>
  <c r="M81" i="4"/>
  <c r="A81" i="4" s="1"/>
  <c r="M82" i="4"/>
  <c r="M83" i="4"/>
  <c r="N83" i="4" s="1"/>
  <c r="M84" i="4"/>
  <c r="A84" i="4" s="1"/>
  <c r="M85" i="4"/>
  <c r="A85" i="4" s="1"/>
  <c r="M86" i="4"/>
  <c r="K86" i="4" s="1"/>
  <c r="L86" i="4" s="1"/>
  <c r="J86" i="4" s="1"/>
  <c r="M87" i="4"/>
  <c r="N87" i="4" s="1"/>
  <c r="M88" i="4"/>
  <c r="A88" i="4" s="1"/>
  <c r="M89" i="4"/>
  <c r="A89" i="4" s="1"/>
  <c r="M90" i="4"/>
  <c r="K90" i="4" s="1"/>
  <c r="M43" i="4"/>
  <c r="A43" i="4" s="1"/>
  <c r="G4" i="4"/>
  <c r="K4" i="4" s="1"/>
  <c r="G5" i="4"/>
  <c r="K5" i="4" s="1"/>
  <c r="G7" i="4"/>
  <c r="K7" i="4" s="1"/>
  <c r="G8" i="4"/>
  <c r="K8" i="4" s="1"/>
  <c r="G9" i="4"/>
  <c r="K9" i="4" s="1"/>
  <c r="G10" i="4"/>
  <c r="K10" i="4" s="1"/>
  <c r="G11" i="4"/>
  <c r="K11" i="4" s="1"/>
  <c r="W6" i="7" l="1"/>
  <c r="W4" i="7"/>
  <c r="Y3" i="1"/>
  <c r="W5" i="7"/>
  <c r="Y5" i="7" s="1"/>
  <c r="AE6" i="1" s="1"/>
  <c r="Y14" i="7"/>
  <c r="Z14" i="7"/>
  <c r="X3" i="1"/>
  <c r="AB3" i="1"/>
  <c r="AA3" i="1"/>
  <c r="AD3" i="1"/>
  <c r="Z3" i="1"/>
  <c r="C12" i="9"/>
  <c r="B12" i="9" s="1"/>
  <c r="F13" i="9"/>
  <c r="I14" i="9"/>
  <c r="D13" i="9"/>
  <c r="G80" i="9"/>
  <c r="AP10" i="1"/>
  <c r="AP6" i="1"/>
  <c r="AP7" i="1"/>
  <c r="AP11" i="1"/>
  <c r="AP8" i="1"/>
  <c r="W11" i="7"/>
  <c r="W7" i="7"/>
  <c r="AC8" i="1" s="1"/>
  <c r="AP12" i="1"/>
  <c r="W8" i="7"/>
  <c r="AC9" i="1" s="1"/>
  <c r="W9" i="7"/>
  <c r="AC10" i="1" s="1"/>
  <c r="Z3" i="7"/>
  <c r="S3" i="4" s="1"/>
  <c r="W10" i="7"/>
  <c r="AC11" i="1" s="1"/>
  <c r="AP4" i="1"/>
  <c r="AP5" i="1"/>
  <c r="AP9" i="1"/>
  <c r="I3" i="4"/>
  <c r="Q3" i="4" s="1"/>
  <c r="I10" i="4"/>
  <c r="F10" i="4" s="1"/>
  <c r="I8" i="4"/>
  <c r="F8" i="4" s="1"/>
  <c r="I6" i="4"/>
  <c r="F6" i="4" s="1"/>
  <c r="I4" i="4"/>
  <c r="F4" i="4" s="1"/>
  <c r="I11" i="4"/>
  <c r="J11" i="4" s="1"/>
  <c r="I9" i="4"/>
  <c r="J9" i="4" s="1"/>
  <c r="I7" i="4"/>
  <c r="F7" i="4" s="1"/>
  <c r="I5" i="4"/>
  <c r="F5" i="4" s="1"/>
  <c r="N86" i="4"/>
  <c r="K89" i="4"/>
  <c r="L89" i="4" s="1"/>
  <c r="J89" i="4" s="1"/>
  <c r="K74" i="4"/>
  <c r="L74" i="4" s="1"/>
  <c r="N81" i="4"/>
  <c r="K85" i="4"/>
  <c r="L85" i="4" s="1"/>
  <c r="J85" i="4" s="1"/>
  <c r="K70" i="4"/>
  <c r="L70" i="4" s="1"/>
  <c r="N77" i="4"/>
  <c r="K82" i="4"/>
  <c r="K66" i="4"/>
  <c r="N54" i="4"/>
  <c r="K78" i="4"/>
  <c r="L78" i="4" s="1"/>
  <c r="K62" i="4"/>
  <c r="L62" i="4" s="1"/>
  <c r="N68" i="4"/>
  <c r="N59" i="4"/>
  <c r="A87" i="4"/>
  <c r="A75" i="4"/>
  <c r="A63" i="4"/>
  <c r="A55" i="4"/>
  <c r="A51" i="4"/>
  <c r="N89" i="4"/>
  <c r="N85" i="4"/>
  <c r="N80" i="4"/>
  <c r="N76" i="4"/>
  <c r="N71" i="4"/>
  <c r="N67" i="4"/>
  <c r="N62" i="4"/>
  <c r="N57" i="4"/>
  <c r="N53" i="4"/>
  <c r="K88" i="4"/>
  <c r="L88" i="4" s="1"/>
  <c r="K84" i="4"/>
  <c r="L84" i="4" s="1"/>
  <c r="J84" i="4" s="1"/>
  <c r="K81" i="4"/>
  <c r="L81" i="4" s="1"/>
  <c r="J81" i="4" s="1"/>
  <c r="K77" i="4"/>
  <c r="L77" i="4" s="1"/>
  <c r="K73" i="4"/>
  <c r="L73" i="4" s="1"/>
  <c r="K69" i="4"/>
  <c r="L69" i="4" s="1"/>
  <c r="K65" i="4"/>
  <c r="L65" i="4" s="1"/>
  <c r="K61" i="4"/>
  <c r="L61" i="4" s="1"/>
  <c r="A90" i="4"/>
  <c r="A86" i="4"/>
  <c r="A82" i="4"/>
  <c r="A78" i="4"/>
  <c r="A70" i="4"/>
  <c r="N72" i="4"/>
  <c r="N63" i="4"/>
  <c r="A83" i="4"/>
  <c r="A79" i="4"/>
  <c r="A71" i="4"/>
  <c r="A67" i="4"/>
  <c r="A59" i="4"/>
  <c r="N88" i="4"/>
  <c r="N84" i="4"/>
  <c r="N79" i="4"/>
  <c r="N75" i="4"/>
  <c r="N65" i="4"/>
  <c r="N61" i="4"/>
  <c r="N56" i="4"/>
  <c r="N52" i="4"/>
  <c r="K87" i="4"/>
  <c r="L87" i="4" s="1"/>
  <c r="J87" i="4" s="1"/>
  <c r="K83" i="4"/>
  <c r="L83" i="4" s="1"/>
  <c r="J83" i="4" s="1"/>
  <c r="K80" i="4"/>
  <c r="L80" i="4" s="1"/>
  <c r="K76" i="4"/>
  <c r="L76" i="4" s="1"/>
  <c r="K72" i="4"/>
  <c r="L72" i="4" s="1"/>
  <c r="K68" i="4"/>
  <c r="L68" i="4" s="1"/>
  <c r="K64" i="4"/>
  <c r="L64" i="4" s="1"/>
  <c r="K60" i="4"/>
  <c r="L60" i="4" s="1"/>
  <c r="A73" i="4"/>
  <c r="A69" i="4"/>
  <c r="N64" i="4"/>
  <c r="N60" i="4"/>
  <c r="L90" i="4"/>
  <c r="J90" i="4" s="1"/>
  <c r="AE14" i="1" l="1"/>
  <c r="AE13" i="1" s="1"/>
  <c r="AP3" i="1"/>
  <c r="F14" i="9"/>
  <c r="C13" i="9"/>
  <c r="B13" i="9" s="1"/>
  <c r="I15" i="9"/>
  <c r="D14" i="9"/>
  <c r="G81" i="9"/>
  <c r="AC4" i="1"/>
  <c r="J5" i="4"/>
  <c r="F9" i="4"/>
  <c r="F11" i="4"/>
  <c r="J10" i="4"/>
  <c r="Y10" i="7"/>
  <c r="AE11" i="1" s="1"/>
  <c r="Z5" i="7"/>
  <c r="AC6" i="1"/>
  <c r="J8" i="4"/>
  <c r="L66" i="4"/>
  <c r="Z138" i="4"/>
  <c r="L82" i="4"/>
  <c r="J82" i="4" s="1"/>
  <c r="Y8" i="7"/>
  <c r="AE9" i="1" s="1"/>
  <c r="Y11" i="7"/>
  <c r="AE12" i="1" s="1"/>
  <c r="AC12" i="1"/>
  <c r="Z10" i="7"/>
  <c r="Z7" i="7"/>
  <c r="Y4" i="7"/>
  <c r="AE5" i="1" s="1"/>
  <c r="AC5" i="1"/>
  <c r="Z6" i="7"/>
  <c r="AC7" i="1"/>
  <c r="Y6" i="7"/>
  <c r="AE7" i="1" s="1"/>
  <c r="J7" i="4"/>
  <c r="J6" i="4"/>
  <c r="J4" i="4"/>
  <c r="Y9" i="7"/>
  <c r="AE10" i="1" s="1"/>
  <c r="Z9" i="7"/>
  <c r="Z8" i="7"/>
  <c r="Y7" i="7"/>
  <c r="AE8" i="1" s="1"/>
  <c r="Z4" i="7"/>
  <c r="Z11" i="7"/>
  <c r="Y3" i="7"/>
  <c r="AE4" i="1" s="1"/>
  <c r="J80" i="4"/>
  <c r="J88" i="4"/>
  <c r="K44" i="4"/>
  <c r="K45" i="4"/>
  <c r="K46" i="4"/>
  <c r="K47" i="4"/>
  <c r="K48" i="4"/>
  <c r="K49" i="4"/>
  <c r="K50" i="4"/>
  <c r="Z74" i="4" s="1"/>
  <c r="K51" i="4"/>
  <c r="K52" i="4"/>
  <c r="K53" i="4"/>
  <c r="K54" i="4"/>
  <c r="K55" i="4"/>
  <c r="K56" i="4"/>
  <c r="K57" i="4"/>
  <c r="K58" i="4"/>
  <c r="Z106" i="4" s="1"/>
  <c r="K43" i="4"/>
  <c r="L43" i="4" s="1"/>
  <c r="G3" i="4"/>
  <c r="K3" i="4" l="1"/>
  <c r="O3" i="4"/>
  <c r="AC3" i="1"/>
  <c r="AE3" i="1"/>
  <c r="F15" i="9"/>
  <c r="C14" i="9"/>
  <c r="B14" i="9" s="1"/>
  <c r="I16" i="9"/>
  <c r="D15" i="9"/>
  <c r="G82" i="9"/>
  <c r="F54" i="7"/>
  <c r="J49" i="7"/>
  <c r="Z46" i="7" s="1"/>
  <c r="J47" i="7"/>
  <c r="Z49" i="7" s="1"/>
  <c r="F51" i="7"/>
  <c r="G51" i="7" s="1"/>
  <c r="F46" i="7"/>
  <c r="J52" i="7"/>
  <c r="Z50" i="7" s="1"/>
  <c r="F49" i="7"/>
  <c r="G49" i="7" s="1"/>
  <c r="F47" i="7"/>
  <c r="G47" i="7" s="1"/>
  <c r="F48" i="7"/>
  <c r="G48" i="7" s="1"/>
  <c r="J51" i="7"/>
  <c r="Z51" i="7" s="1"/>
  <c r="J50" i="7"/>
  <c r="Z47" i="7" s="1"/>
  <c r="F52" i="7"/>
  <c r="G52" i="7" s="1"/>
  <c r="F50" i="7"/>
  <c r="G50" i="7" s="1"/>
  <c r="J48" i="7"/>
  <c r="Z48" i="7" s="1"/>
  <c r="J46" i="7"/>
  <c r="Q5" i="4"/>
  <c r="F3" i="4"/>
  <c r="N3" i="4" s="1"/>
  <c r="Y12" i="7"/>
  <c r="J60" i="4"/>
  <c r="J61" i="4"/>
  <c r="J76" i="4"/>
  <c r="L45" i="4"/>
  <c r="J45" i="4" s="1"/>
  <c r="L44" i="4"/>
  <c r="J44" i="4" s="1"/>
  <c r="J43" i="4"/>
  <c r="J65" i="4"/>
  <c r="J74" i="4"/>
  <c r="J73" i="4"/>
  <c r="J72" i="4"/>
  <c r="L58" i="4"/>
  <c r="J58" i="4" s="1"/>
  <c r="Y106" i="4" s="1"/>
  <c r="L57" i="4"/>
  <c r="J57" i="4" s="1"/>
  <c r="J75" i="4"/>
  <c r="L56" i="4"/>
  <c r="J56" i="4" s="1"/>
  <c r="L49" i="4"/>
  <c r="J49" i="4" s="1"/>
  <c r="J59" i="4"/>
  <c r="L48" i="4"/>
  <c r="J48" i="4" s="1"/>
  <c r="J71" i="4"/>
  <c r="L55" i="4"/>
  <c r="J55" i="4" s="1"/>
  <c r="J70" i="4"/>
  <c r="L54" i="4"/>
  <c r="J54" i="4" s="1"/>
  <c r="J69" i="4"/>
  <c r="L53" i="4"/>
  <c r="J53" i="4" s="1"/>
  <c r="J68" i="4"/>
  <c r="L52" i="4"/>
  <c r="J52" i="4" s="1"/>
  <c r="J67" i="4"/>
  <c r="L51" i="4"/>
  <c r="J51" i="4" s="1"/>
  <c r="L50" i="4"/>
  <c r="L47" i="4"/>
  <c r="J47" i="4" s="1"/>
  <c r="J62" i="4"/>
  <c r="L46" i="4"/>
  <c r="J46" i="4" s="1"/>
  <c r="J63" i="4"/>
  <c r="J77" i="4"/>
  <c r="J64" i="4"/>
  <c r="J3" i="4"/>
  <c r="J39" i="4" s="1"/>
  <c r="F16" i="9" l="1"/>
  <c r="C15" i="9"/>
  <c r="B15" i="9" s="1"/>
  <c r="I17" i="9"/>
  <c r="D16" i="9"/>
  <c r="G83" i="9"/>
  <c r="Z55" i="7"/>
  <c r="Z54" i="7"/>
  <c r="Z53" i="7"/>
  <c r="Z52" i="7"/>
  <c r="G46" i="7"/>
  <c r="F57" i="7" s="1"/>
  <c r="G57" i="7" s="1"/>
  <c r="F53" i="7"/>
  <c r="T43" i="4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J50" i="4"/>
  <c r="G43" i="4"/>
  <c r="G44" i="4" s="1" a="1"/>
  <c r="G44" i="4" s="1"/>
  <c r="G45" i="4" s="1" a="1"/>
  <c r="G45" i="4" s="1"/>
  <c r="G46" i="4" s="1" a="1"/>
  <c r="G46" i="4" s="1"/>
  <c r="G47" i="4" s="1" a="1"/>
  <c r="G47" i="4" s="1"/>
  <c r="G48" i="4" s="1" a="1"/>
  <c r="G48" i="4" s="1"/>
  <c r="G49" i="4" s="1" a="1"/>
  <c r="G49" i="4" s="1"/>
  <c r="V71" i="1"/>
  <c r="X71" i="1" s="1"/>
  <c r="AF71" i="1" s="1"/>
  <c r="AN7" i="1"/>
  <c r="AN3" i="1" s="1"/>
  <c r="F17" i="9" l="1"/>
  <c r="C16" i="9"/>
  <c r="B16" i="9"/>
  <c r="I18" i="9"/>
  <c r="D17" i="9"/>
  <c r="G84" i="9"/>
  <c r="AO7" i="1"/>
  <c r="AO59" i="1" s="1"/>
  <c r="E6" i="4"/>
  <c r="G6" i="4" s="1"/>
  <c r="K6" i="4" s="1"/>
  <c r="K39" i="4" s="1"/>
  <c r="Y74" i="4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G50" i="4" a="1"/>
  <c r="G50" i="4" s="1"/>
  <c r="G51" i="4" s="1" a="1"/>
  <c r="G51" i="4" s="1"/>
  <c r="G52" i="4" s="1" a="1"/>
  <c r="G52" i="4" s="1"/>
  <c r="G53" i="4" s="1" a="1"/>
  <c r="G53" i="4" s="1"/>
  <c r="G54" i="4" s="1" a="1"/>
  <c r="G54" i="4" s="1"/>
  <c r="G55" i="4" s="1" a="1"/>
  <c r="G55" i="4" s="1"/>
  <c r="G56" i="4" s="1" a="1"/>
  <c r="G56" i="4" s="1"/>
  <c r="G57" i="4" s="1" a="1"/>
  <c r="G57" i="4" s="1"/>
  <c r="G58" i="4" s="1" a="1"/>
  <c r="G58" i="4" s="1"/>
  <c r="G59" i="4" s="1" a="1"/>
  <c r="G59" i="4" s="1"/>
  <c r="G60" i="4" s="1" a="1"/>
  <c r="G60" i="4" s="1"/>
  <c r="G61" i="4" s="1" a="1"/>
  <c r="G61" i="4" s="1"/>
  <c r="G62" i="4" s="1" a="1"/>
  <c r="G62" i="4" s="1"/>
  <c r="G63" i="4" s="1" a="1"/>
  <c r="G63" i="4" s="1"/>
  <c r="G64" i="4" s="1" a="1"/>
  <c r="G64" i="4" s="1"/>
  <c r="G65" i="4" s="1" a="1"/>
  <c r="G65" i="4" s="1"/>
  <c r="U44" i="4"/>
  <c r="U43" i="4"/>
  <c r="N58" i="4"/>
  <c r="H43" i="4"/>
  <c r="I43" i="4"/>
  <c r="I44" i="4"/>
  <c r="H44" i="4"/>
  <c r="AJ10" i="1"/>
  <c r="AJ4" i="1"/>
  <c r="AH4" i="1"/>
  <c r="AI4" i="1"/>
  <c r="F5" i="1"/>
  <c r="F6" i="1"/>
  <c r="F7" i="1"/>
  <c r="F8" i="1"/>
  <c r="F9" i="1"/>
  <c r="F10" i="1"/>
  <c r="F11" i="1"/>
  <c r="F12" i="1"/>
  <c r="F4" i="1"/>
  <c r="V5" i="1"/>
  <c r="V6" i="1"/>
  <c r="V7" i="1"/>
  <c r="V8" i="1"/>
  <c r="V10" i="1"/>
  <c r="V11" i="1"/>
  <c r="V12" i="1"/>
  <c r="V4" i="1"/>
  <c r="AJ12" i="1"/>
  <c r="AI10" i="1"/>
  <c r="AI9" i="1"/>
  <c r="AJ9" i="1"/>
  <c r="AH9" i="1"/>
  <c r="AJ8" i="1"/>
  <c r="AI8" i="1"/>
  <c r="AH7" i="1"/>
  <c r="AJ7" i="1"/>
  <c r="AI7" i="1"/>
  <c r="AJ6" i="1"/>
  <c r="AH6" i="1"/>
  <c r="AK6" i="1"/>
  <c r="AK3" i="1" s="1"/>
  <c r="AI6" i="1"/>
  <c r="AH5" i="1"/>
  <c r="AI5" i="1"/>
  <c r="AJ5" i="1"/>
  <c r="F3" i="1" l="1"/>
  <c r="AM3" i="1"/>
  <c r="V3" i="1"/>
  <c r="AO3" i="1"/>
  <c r="AJ3" i="1"/>
  <c r="AH3" i="1"/>
  <c r="AI3" i="1"/>
  <c r="F18" i="9"/>
  <c r="C17" i="9"/>
  <c r="B17" i="9" s="1"/>
  <c r="I19" i="9"/>
  <c r="D18" i="9"/>
  <c r="G85" i="9"/>
  <c r="U45" i="4"/>
  <c r="N66" i="4"/>
  <c r="AA138" i="4" s="1"/>
  <c r="AA106" i="4"/>
  <c r="I45" i="4"/>
  <c r="J66" i="4"/>
  <c r="Y138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H45" i="4"/>
  <c r="F19" i="9" l="1"/>
  <c r="C18" i="9"/>
  <c r="B18" i="9" s="1"/>
  <c r="I20" i="9"/>
  <c r="D19" i="9"/>
  <c r="G86" i="9"/>
  <c r="G66" i="4" a="1"/>
  <c r="G66" i="4" s="1"/>
  <c r="G67" i="4" s="1" a="1"/>
  <c r="G67" i="4" s="1"/>
  <c r="G68" i="4" s="1" a="1"/>
  <c r="G68" i="4" s="1"/>
  <c r="G69" i="4" s="1" a="1"/>
  <c r="G69" i="4" s="1"/>
  <c r="G70" i="4" s="1" a="1"/>
  <c r="G70" i="4" s="1"/>
  <c r="G71" i="4" s="1" a="1"/>
  <c r="G71" i="4" s="1"/>
  <c r="G72" i="4" s="1" a="1"/>
  <c r="G72" i="4" s="1"/>
  <c r="G73" i="4" s="1" a="1"/>
  <c r="G73" i="4" s="1"/>
  <c r="G74" i="4" s="1" a="1"/>
  <c r="G74" i="4" s="1"/>
  <c r="G75" i="4" s="1" a="1"/>
  <c r="G75" i="4" s="1"/>
  <c r="G76" i="4" s="1" a="1"/>
  <c r="G76" i="4" s="1"/>
  <c r="G77" i="4" s="1" a="1"/>
  <c r="G77" i="4" s="1"/>
  <c r="G78" i="4" s="1" a="1"/>
  <c r="G78" i="4" s="1"/>
  <c r="G79" i="4" s="1" a="1"/>
  <c r="G79" i="4" s="1"/>
  <c r="G80" i="4" s="1" a="1"/>
  <c r="G80" i="4" s="1"/>
  <c r="G81" i="4" s="1" a="1"/>
  <c r="G81" i="4" s="1"/>
  <c r="G82" i="4" s="1" a="1"/>
  <c r="G82" i="4" s="1"/>
  <c r="G83" i="4" s="1" a="1"/>
  <c r="G83" i="4" s="1"/>
  <c r="G84" i="4" s="1" a="1"/>
  <c r="G84" i="4" s="1"/>
  <c r="G85" i="4" s="1" a="1"/>
  <c r="G85" i="4" s="1"/>
  <c r="G86" i="4" s="1" a="1"/>
  <c r="G86" i="4" s="1"/>
  <c r="G87" i="4" s="1" a="1"/>
  <c r="G87" i="4" s="1"/>
  <c r="G88" i="4" s="1" a="1"/>
  <c r="G88" i="4" s="1"/>
  <c r="G89" i="4" s="1" a="1"/>
  <c r="G89" i="4" s="1"/>
  <c r="G90" i="4" s="1" a="1"/>
  <c r="G90" i="4" s="1"/>
  <c r="U46" i="4"/>
  <c r="I46" i="4"/>
  <c r="N74" i="4"/>
  <c r="N82" i="4" s="1"/>
  <c r="H46" i="4"/>
  <c r="F20" i="9" l="1"/>
  <c r="C19" i="9"/>
  <c r="B19" i="9" s="1"/>
  <c r="I21" i="9"/>
  <c r="D20" i="9"/>
  <c r="G87" i="9"/>
  <c r="U47" i="4"/>
  <c r="N90" i="4"/>
  <c r="I47" i="4"/>
  <c r="J78" i="4"/>
  <c r="H47" i="4"/>
  <c r="F21" i="9" l="1"/>
  <c r="C20" i="9"/>
  <c r="B20" i="9"/>
  <c r="I22" i="9"/>
  <c r="D21" i="9"/>
  <c r="G88" i="9"/>
  <c r="U48" i="4"/>
  <c r="I48" i="4"/>
  <c r="H48" i="4"/>
  <c r="F22" i="9" l="1"/>
  <c r="C21" i="9"/>
  <c r="B21" i="9" s="1"/>
  <c r="I23" i="9"/>
  <c r="D22" i="9"/>
  <c r="G89" i="9"/>
  <c r="U49" i="4"/>
  <c r="I49" i="4"/>
  <c r="H49" i="4"/>
  <c r="F23" i="9" l="1"/>
  <c r="C22" i="9"/>
  <c r="B22" i="9" s="1"/>
  <c r="I24" i="9"/>
  <c r="D23" i="9"/>
  <c r="G90" i="9"/>
  <c r="U50" i="4"/>
  <c r="I50" i="4"/>
  <c r="H50" i="4"/>
  <c r="F24" i="9" l="1"/>
  <c r="C23" i="9"/>
  <c r="B23" i="9" s="1"/>
  <c r="I25" i="9"/>
  <c r="D24" i="9"/>
  <c r="G91" i="9"/>
  <c r="U51" i="4"/>
  <c r="I51" i="4"/>
  <c r="H51" i="4"/>
  <c r="F25" i="9" l="1"/>
  <c r="C24" i="9"/>
  <c r="B24" i="9" s="1"/>
  <c r="I26" i="9"/>
  <c r="D25" i="9"/>
  <c r="G92" i="9"/>
  <c r="U52" i="4"/>
  <c r="I52" i="4"/>
  <c r="H52" i="4"/>
  <c r="F26" i="9" l="1"/>
  <c r="C25" i="9"/>
  <c r="B25" i="9" s="1"/>
  <c r="I27" i="9"/>
  <c r="D26" i="9"/>
  <c r="G93" i="9"/>
  <c r="U53" i="4"/>
  <c r="I53" i="4"/>
  <c r="H53" i="4"/>
  <c r="F27" i="9" l="1"/>
  <c r="C26" i="9"/>
  <c r="B26" i="9"/>
  <c r="I28" i="9"/>
  <c r="D27" i="9"/>
  <c r="G94" i="9"/>
  <c r="U54" i="4"/>
  <c r="I54" i="4"/>
  <c r="H54" i="4"/>
  <c r="F28" i="9" l="1"/>
  <c r="C27" i="9"/>
  <c r="B27" i="9" s="1"/>
  <c r="I29" i="9"/>
  <c r="D28" i="9"/>
  <c r="G95" i="9"/>
  <c r="U55" i="4"/>
  <c r="I55" i="4"/>
  <c r="H55" i="4"/>
  <c r="F29" i="9" l="1"/>
  <c r="C28" i="9"/>
  <c r="B28" i="9"/>
  <c r="I30" i="9"/>
  <c r="D29" i="9"/>
  <c r="G96" i="9"/>
  <c r="U56" i="4"/>
  <c r="I56" i="4"/>
  <c r="H56" i="4"/>
  <c r="F30" i="9" l="1"/>
  <c r="C29" i="9"/>
  <c r="B29" i="9" s="1"/>
  <c r="I31" i="9"/>
  <c r="D30" i="9"/>
  <c r="G97" i="9"/>
  <c r="U57" i="4"/>
  <c r="I57" i="4"/>
  <c r="H57" i="4"/>
  <c r="F31" i="9" l="1"/>
  <c r="C30" i="9"/>
  <c r="B30" i="9"/>
  <c r="I32" i="9"/>
  <c r="D31" i="9"/>
  <c r="G98" i="9"/>
  <c r="U58" i="4"/>
  <c r="I58" i="4"/>
  <c r="H58" i="4"/>
  <c r="F32" i="9" l="1"/>
  <c r="C31" i="9"/>
  <c r="B31" i="9" s="1"/>
  <c r="I33" i="9"/>
  <c r="D32" i="9"/>
  <c r="G99" i="9"/>
  <c r="U59" i="4"/>
  <c r="I59" i="4"/>
  <c r="H59" i="4"/>
  <c r="F33" i="9" l="1"/>
  <c r="C32" i="9"/>
  <c r="B32" i="9"/>
  <c r="I34" i="9"/>
  <c r="D33" i="9"/>
  <c r="G100" i="9"/>
  <c r="U60" i="4"/>
  <c r="I60" i="4"/>
  <c r="H60" i="4"/>
  <c r="F34" i="9" l="1"/>
  <c r="C33" i="9"/>
  <c r="B33" i="9" s="1"/>
  <c r="I35" i="9"/>
  <c r="D34" i="9"/>
  <c r="G101" i="9"/>
  <c r="U61" i="4"/>
  <c r="I61" i="4"/>
  <c r="H61" i="4"/>
  <c r="F35" i="9" l="1"/>
  <c r="C34" i="9"/>
  <c r="B34" i="9"/>
  <c r="I36" i="9"/>
  <c r="D35" i="9"/>
  <c r="G102" i="9"/>
  <c r="U62" i="4"/>
  <c r="I62" i="4"/>
  <c r="H62" i="4"/>
  <c r="F36" i="9" l="1"/>
  <c r="C35" i="9"/>
  <c r="B35" i="9" s="1"/>
  <c r="I37" i="9"/>
  <c r="D36" i="9"/>
  <c r="G103" i="9"/>
  <c r="U63" i="4"/>
  <c r="I63" i="4"/>
  <c r="H63" i="4"/>
  <c r="F37" i="9" l="1"/>
  <c r="C36" i="9"/>
  <c r="B36" i="9"/>
  <c r="I38" i="9"/>
  <c r="D37" i="9"/>
  <c r="G104" i="9"/>
  <c r="U64" i="4"/>
  <c r="I64" i="4"/>
  <c r="H64" i="4"/>
  <c r="F38" i="9" l="1"/>
  <c r="C37" i="9"/>
  <c r="B37" i="9" s="1"/>
  <c r="I39" i="9"/>
  <c r="D38" i="9"/>
  <c r="G105" i="9"/>
  <c r="U65" i="4"/>
  <c r="I65" i="4"/>
  <c r="H65" i="4"/>
  <c r="F39" i="9" l="1"/>
  <c r="C38" i="9"/>
  <c r="B38" i="9" s="1"/>
  <c r="I40" i="9"/>
  <c r="D39" i="9"/>
  <c r="G106" i="9"/>
  <c r="U66" i="4"/>
  <c r="I66" i="4"/>
  <c r="H66" i="4"/>
  <c r="F40" i="9" l="1"/>
  <c r="C39" i="9"/>
  <c r="B39" i="9" s="1"/>
  <c r="I41" i="9"/>
  <c r="D40" i="9"/>
  <c r="G107" i="9"/>
  <c r="U67" i="4"/>
  <c r="I67" i="4"/>
  <c r="H67" i="4"/>
  <c r="F41" i="9" l="1"/>
  <c r="C40" i="9"/>
  <c r="B40" i="9" s="1"/>
  <c r="I42" i="9"/>
  <c r="D41" i="9"/>
  <c r="G108" i="9"/>
  <c r="U68" i="4"/>
  <c r="I68" i="4"/>
  <c r="H68" i="4"/>
  <c r="F42" i="9" l="1"/>
  <c r="C41" i="9"/>
  <c r="B41" i="9" s="1"/>
  <c r="I43" i="9"/>
  <c r="D42" i="9"/>
  <c r="G109" i="9"/>
  <c r="U69" i="4"/>
  <c r="I69" i="4"/>
  <c r="H69" i="4"/>
  <c r="F43" i="9" l="1"/>
  <c r="C42" i="9"/>
  <c r="B42" i="9" s="1"/>
  <c r="I44" i="9"/>
  <c r="D43" i="9"/>
  <c r="G110" i="9"/>
  <c r="U70" i="4"/>
  <c r="I70" i="4"/>
  <c r="H70" i="4"/>
  <c r="F44" i="9" l="1"/>
  <c r="C43" i="9"/>
  <c r="B43" i="9" s="1"/>
  <c r="I45" i="9"/>
  <c r="D44" i="9"/>
  <c r="G111" i="9"/>
  <c r="U71" i="4"/>
  <c r="I71" i="4"/>
  <c r="H71" i="4"/>
  <c r="F45" i="9" l="1"/>
  <c r="C44" i="9"/>
  <c r="B44" i="9" s="1"/>
  <c r="I46" i="9"/>
  <c r="D45" i="9"/>
  <c r="G112" i="9"/>
  <c r="U72" i="4"/>
  <c r="I72" i="4"/>
  <c r="H72" i="4"/>
  <c r="F46" i="9" l="1"/>
  <c r="C45" i="9"/>
  <c r="B45" i="9" s="1"/>
  <c r="I47" i="9"/>
  <c r="D46" i="9"/>
  <c r="G113" i="9"/>
  <c r="U73" i="4"/>
  <c r="I73" i="4"/>
  <c r="H73" i="4"/>
  <c r="F47" i="9" l="1"/>
  <c r="C46" i="9"/>
  <c r="B46" i="9"/>
  <c r="I48" i="9"/>
  <c r="D47" i="9"/>
  <c r="G114" i="9"/>
  <c r="U74" i="4"/>
  <c r="I74" i="4"/>
  <c r="H74" i="4"/>
  <c r="F48" i="9" l="1"/>
  <c r="C47" i="9"/>
  <c r="B47" i="9" s="1"/>
  <c r="I49" i="9"/>
  <c r="D48" i="9"/>
  <c r="G115" i="9"/>
  <c r="U75" i="4"/>
  <c r="I75" i="4"/>
  <c r="H75" i="4"/>
  <c r="F49" i="9" l="1"/>
  <c r="C48" i="9"/>
  <c r="B48" i="9"/>
  <c r="I50" i="9"/>
  <c r="D49" i="9"/>
  <c r="G116" i="9"/>
  <c r="U76" i="4"/>
  <c r="I76" i="4"/>
  <c r="H76" i="4"/>
  <c r="F50" i="9" l="1"/>
  <c r="C49" i="9"/>
  <c r="B49" i="9" s="1"/>
  <c r="I51" i="9"/>
  <c r="D50" i="9"/>
  <c r="G117" i="9"/>
  <c r="U77" i="4"/>
  <c r="I77" i="4"/>
  <c r="H77" i="4"/>
  <c r="F51" i="9" l="1"/>
  <c r="C50" i="9"/>
  <c r="B50" i="9"/>
  <c r="I52" i="9"/>
  <c r="D51" i="9"/>
  <c r="G118" i="9"/>
  <c r="U78" i="4"/>
  <c r="I78" i="4"/>
  <c r="H78" i="4"/>
  <c r="F52" i="9" l="1"/>
  <c r="C51" i="9"/>
  <c r="B51" i="9" s="1"/>
  <c r="I53" i="9"/>
  <c r="D52" i="9"/>
  <c r="G119" i="9"/>
  <c r="U79" i="4"/>
  <c r="I79" i="4"/>
  <c r="H79" i="4"/>
  <c r="F53" i="9" l="1"/>
  <c r="C52" i="9"/>
  <c r="B52" i="9" s="1"/>
  <c r="I54" i="9"/>
  <c r="D53" i="9"/>
  <c r="G120" i="9"/>
  <c r="U80" i="4"/>
  <c r="I80" i="4"/>
  <c r="H80" i="4"/>
  <c r="F54" i="9" l="1"/>
  <c r="C53" i="9"/>
  <c r="B53" i="9" s="1"/>
  <c r="I55" i="9"/>
  <c r="D54" i="9"/>
  <c r="G121" i="9"/>
  <c r="U81" i="4"/>
  <c r="I81" i="4"/>
  <c r="H81" i="4"/>
  <c r="F55" i="9" l="1"/>
  <c r="C54" i="9"/>
  <c r="B54" i="9" s="1"/>
  <c r="I56" i="9"/>
  <c r="D55" i="9"/>
  <c r="G122" i="9"/>
  <c r="U82" i="4"/>
  <c r="I82" i="4"/>
  <c r="H82" i="4"/>
  <c r="F56" i="9" l="1"/>
  <c r="C55" i="9"/>
  <c r="B55" i="9" s="1"/>
  <c r="I57" i="9"/>
  <c r="D56" i="9"/>
  <c r="G123" i="9"/>
  <c r="U83" i="4"/>
  <c r="I83" i="4"/>
  <c r="H83" i="4"/>
  <c r="F57" i="9" l="1"/>
  <c r="C56" i="9"/>
  <c r="B56" i="9"/>
  <c r="I58" i="9"/>
  <c r="D57" i="9"/>
  <c r="G124" i="9"/>
  <c r="U84" i="4"/>
  <c r="I84" i="4"/>
  <c r="H84" i="4"/>
  <c r="F58" i="9" l="1"/>
  <c r="C57" i="9"/>
  <c r="B57" i="9" s="1"/>
  <c r="I59" i="9"/>
  <c r="D58" i="9"/>
  <c r="G125" i="9"/>
  <c r="U85" i="4"/>
  <c r="I85" i="4"/>
  <c r="H85" i="4"/>
  <c r="F59" i="9" l="1"/>
  <c r="C58" i="9"/>
  <c r="B58" i="9"/>
  <c r="I60" i="9"/>
  <c r="D59" i="9"/>
  <c r="G126" i="9"/>
  <c r="U86" i="4"/>
  <c r="I86" i="4"/>
  <c r="H86" i="4"/>
  <c r="F60" i="9" l="1"/>
  <c r="C59" i="9"/>
  <c r="B59" i="9" s="1"/>
  <c r="I61" i="9"/>
  <c r="D60" i="9"/>
  <c r="G127" i="9"/>
  <c r="U87" i="4"/>
  <c r="I87" i="4"/>
  <c r="H87" i="4"/>
  <c r="F61" i="9" l="1"/>
  <c r="C60" i="9"/>
  <c r="B60" i="9"/>
  <c r="I62" i="9"/>
  <c r="D61" i="9"/>
  <c r="G128" i="9"/>
  <c r="U88" i="4"/>
  <c r="I88" i="4"/>
  <c r="H88" i="4"/>
  <c r="F62" i="9" l="1"/>
  <c r="C61" i="9"/>
  <c r="B61" i="9" s="1"/>
  <c r="I63" i="9"/>
  <c r="D62" i="9"/>
  <c r="G129" i="9"/>
  <c r="U89" i="4"/>
  <c r="I90" i="4"/>
  <c r="I89" i="4"/>
  <c r="H89" i="4"/>
  <c r="F63" i="9" l="1"/>
  <c r="C62" i="9"/>
  <c r="B62" i="9" s="1"/>
  <c r="I64" i="9"/>
  <c r="D63" i="9"/>
  <c r="G130" i="9"/>
  <c r="U90" i="4"/>
  <c r="H90" i="4"/>
  <c r="F64" i="9" l="1"/>
  <c r="C63" i="9"/>
  <c r="B63" i="9" s="1"/>
  <c r="I65" i="9"/>
  <c r="D64" i="9"/>
  <c r="G131" i="9"/>
  <c r="U91" i="4"/>
  <c r="F65" i="9" l="1"/>
  <c r="C64" i="9"/>
  <c r="B64" i="9" s="1"/>
  <c r="I66" i="9"/>
  <c r="D65" i="9"/>
  <c r="G132" i="9"/>
  <c r="U92" i="4"/>
  <c r="F66" i="9" l="1"/>
  <c r="C65" i="9"/>
  <c r="B65" i="9" s="1"/>
  <c r="I67" i="9"/>
  <c r="D66" i="9"/>
  <c r="G133" i="9"/>
  <c r="U93" i="4"/>
  <c r="F67" i="9" l="1"/>
  <c r="C66" i="9"/>
  <c r="B66" i="9" s="1"/>
  <c r="I68" i="9"/>
  <c r="D67" i="9"/>
  <c r="G134" i="9"/>
  <c r="U94" i="4"/>
  <c r="F68" i="9" l="1"/>
  <c r="C67" i="9"/>
  <c r="B67" i="9" s="1"/>
  <c r="I69" i="9"/>
  <c r="D68" i="9"/>
  <c r="G135" i="9"/>
  <c r="U95" i="4"/>
  <c r="F69" i="9" l="1"/>
  <c r="C68" i="9"/>
  <c r="B68" i="9" s="1"/>
  <c r="I70" i="9"/>
  <c r="D69" i="9"/>
  <c r="G136" i="9"/>
  <c r="U96" i="4"/>
  <c r="F70" i="9" l="1"/>
  <c r="C69" i="9"/>
  <c r="B69" i="9" s="1"/>
  <c r="I71" i="9"/>
  <c r="D70" i="9"/>
  <c r="G137" i="9"/>
  <c r="U97" i="4"/>
  <c r="F71" i="9" l="1"/>
  <c r="C70" i="9"/>
  <c r="B70" i="9" s="1"/>
  <c r="I72" i="9"/>
  <c r="D71" i="9"/>
  <c r="G138" i="9"/>
  <c r="U98" i="4"/>
  <c r="F72" i="9" l="1"/>
  <c r="C71" i="9"/>
  <c r="B71" i="9" s="1"/>
  <c r="I73" i="9"/>
  <c r="D72" i="9"/>
  <c r="G139" i="9"/>
  <c r="U99" i="4"/>
  <c r="F73" i="9" l="1"/>
  <c r="C72" i="9"/>
  <c r="B72" i="9" s="1"/>
  <c r="I74" i="9"/>
  <c r="D73" i="9"/>
  <c r="G140" i="9"/>
  <c r="U100" i="4"/>
  <c r="F74" i="9" l="1"/>
  <c r="C73" i="9"/>
  <c r="B73" i="9" s="1"/>
  <c r="I75" i="9"/>
  <c r="D74" i="9"/>
  <c r="G141" i="9"/>
  <c r="U101" i="4"/>
  <c r="F75" i="9" l="1"/>
  <c r="C74" i="9"/>
  <c r="B74" i="9" s="1"/>
  <c r="I76" i="9"/>
  <c r="D75" i="9"/>
  <c r="G142" i="9"/>
  <c r="U102" i="4"/>
  <c r="F76" i="9" l="1"/>
  <c r="C75" i="9"/>
  <c r="B75" i="9" s="1"/>
  <c r="I77" i="9"/>
  <c r="D76" i="9"/>
  <c r="G143" i="9"/>
  <c r="U103" i="4"/>
  <c r="F77" i="9" l="1"/>
  <c r="C76" i="9"/>
  <c r="B76" i="9" s="1"/>
  <c r="I78" i="9"/>
  <c r="D77" i="9"/>
  <c r="G144" i="9"/>
  <c r="U104" i="4"/>
  <c r="F78" i="9" l="1"/>
  <c r="C77" i="9"/>
  <c r="B77" i="9" s="1"/>
  <c r="I79" i="9"/>
  <c r="D78" i="9"/>
  <c r="G145" i="9"/>
  <c r="U105" i="4"/>
  <c r="F79" i="9" l="1"/>
  <c r="C78" i="9"/>
  <c r="B78" i="9" s="1"/>
  <c r="I80" i="9"/>
  <c r="D79" i="9"/>
  <c r="G146" i="9"/>
  <c r="U106" i="4"/>
  <c r="F80" i="9" l="1"/>
  <c r="C79" i="9"/>
  <c r="B79" i="9" s="1"/>
  <c r="I81" i="9"/>
  <c r="D80" i="9"/>
  <c r="G147" i="9"/>
  <c r="U107" i="4"/>
  <c r="F81" i="9" l="1"/>
  <c r="C80" i="9"/>
  <c r="B80" i="9" s="1"/>
  <c r="I82" i="9"/>
  <c r="D81" i="9"/>
  <c r="G148" i="9"/>
  <c r="U108" i="4"/>
  <c r="F82" i="9" l="1"/>
  <c r="C81" i="9"/>
  <c r="B81" i="9" s="1"/>
  <c r="I83" i="9"/>
  <c r="D82" i="9"/>
  <c r="G149" i="9"/>
  <c r="U109" i="4"/>
  <c r="F83" i="9" l="1"/>
  <c r="C82" i="9"/>
  <c r="B82" i="9" s="1"/>
  <c r="I84" i="9"/>
  <c r="D83" i="9"/>
  <c r="G150" i="9"/>
  <c r="U110" i="4"/>
  <c r="F84" i="9" l="1"/>
  <c r="C83" i="9"/>
  <c r="B83" i="9" s="1"/>
  <c r="I85" i="9"/>
  <c r="D84" i="9"/>
  <c r="G151" i="9"/>
  <c r="U111" i="4"/>
  <c r="F85" i="9" l="1"/>
  <c r="C84" i="9"/>
  <c r="B84" i="9" s="1"/>
  <c r="I86" i="9"/>
  <c r="D85" i="9"/>
  <c r="G152" i="9"/>
  <c r="U112" i="4"/>
  <c r="F86" i="9" l="1"/>
  <c r="C85" i="9"/>
  <c r="B85" i="9" s="1"/>
  <c r="I87" i="9"/>
  <c r="D86" i="9"/>
  <c r="G153" i="9"/>
  <c r="U113" i="4"/>
  <c r="F87" i="9" l="1"/>
  <c r="C86" i="9"/>
  <c r="B86" i="9"/>
  <c r="I88" i="9"/>
  <c r="D87" i="9"/>
  <c r="G154" i="9"/>
  <c r="U114" i="4"/>
  <c r="F88" i="9" l="1"/>
  <c r="C87" i="9"/>
  <c r="B87" i="9" s="1"/>
  <c r="I89" i="9"/>
  <c r="D88" i="9"/>
  <c r="G155" i="9"/>
  <c r="U115" i="4"/>
  <c r="F89" i="9" l="1"/>
  <c r="C88" i="9"/>
  <c r="B88" i="9" s="1"/>
  <c r="I90" i="9"/>
  <c r="D89" i="9"/>
  <c r="G157" i="9"/>
  <c r="U116" i="4"/>
  <c r="F90" i="9" l="1"/>
  <c r="C89" i="9"/>
  <c r="B89" i="9" s="1"/>
  <c r="I91" i="9"/>
  <c r="D90" i="9"/>
  <c r="G158" i="9"/>
  <c r="U117" i="4"/>
  <c r="F91" i="9" l="1"/>
  <c r="C90" i="9"/>
  <c r="B90" i="9" s="1"/>
  <c r="I92" i="9"/>
  <c r="D91" i="9"/>
  <c r="G159" i="9"/>
  <c r="U118" i="4"/>
  <c r="F92" i="9" l="1"/>
  <c r="C91" i="9"/>
  <c r="B91" i="9" s="1"/>
  <c r="I93" i="9"/>
  <c r="D92" i="9"/>
  <c r="G160" i="9"/>
  <c r="U119" i="4"/>
  <c r="F93" i="9" l="1"/>
  <c r="C92" i="9"/>
  <c r="B92" i="9" s="1"/>
  <c r="I94" i="9"/>
  <c r="D93" i="9"/>
  <c r="G161" i="9"/>
  <c r="U120" i="4"/>
  <c r="F94" i="9" l="1"/>
  <c r="C93" i="9"/>
  <c r="B93" i="9"/>
  <c r="I95" i="9"/>
  <c r="D94" i="9"/>
  <c r="G162" i="9"/>
  <c r="U121" i="4"/>
  <c r="F95" i="9" l="1"/>
  <c r="C94" i="9"/>
  <c r="B94" i="9" s="1"/>
  <c r="I96" i="9"/>
  <c r="D95" i="9"/>
  <c r="G163" i="9"/>
  <c r="U122" i="4"/>
  <c r="F96" i="9" l="1"/>
  <c r="C95" i="9"/>
  <c r="B95" i="9" s="1"/>
  <c r="I97" i="9"/>
  <c r="D96" i="9"/>
  <c r="G164" i="9"/>
  <c r="U123" i="4"/>
  <c r="F97" i="9" l="1"/>
  <c r="C96" i="9"/>
  <c r="B96" i="9" s="1"/>
  <c r="I98" i="9"/>
  <c r="D97" i="9"/>
  <c r="G165" i="9"/>
  <c r="U124" i="4"/>
  <c r="F98" i="9" l="1"/>
  <c r="C97" i="9"/>
  <c r="B97" i="9" s="1"/>
  <c r="I99" i="9"/>
  <c r="D98" i="9"/>
  <c r="G166" i="9"/>
  <c r="U125" i="4"/>
  <c r="F99" i="9" l="1"/>
  <c r="C98" i="9"/>
  <c r="B98" i="9" s="1"/>
  <c r="I100" i="9"/>
  <c r="D99" i="9"/>
  <c r="G167" i="9"/>
  <c r="U126" i="4"/>
  <c r="F100" i="9" l="1"/>
  <c r="C99" i="9"/>
  <c r="B99" i="9"/>
  <c r="I101" i="9"/>
  <c r="D100" i="9"/>
  <c r="G168" i="9"/>
  <c r="U127" i="4"/>
  <c r="F101" i="9" l="1"/>
  <c r="C100" i="9"/>
  <c r="B100" i="9" s="1"/>
  <c r="I102" i="9"/>
  <c r="D101" i="9"/>
  <c r="G169" i="9"/>
  <c r="U128" i="4"/>
  <c r="F102" i="9" l="1"/>
  <c r="C101" i="9"/>
  <c r="B101" i="9" s="1"/>
  <c r="I103" i="9"/>
  <c r="D102" i="9"/>
  <c r="G170" i="9"/>
  <c r="U129" i="4"/>
  <c r="F103" i="9" l="1"/>
  <c r="C102" i="9"/>
  <c r="B102" i="9" s="1"/>
  <c r="I104" i="9"/>
  <c r="D103" i="9"/>
  <c r="G171" i="9"/>
  <c r="U130" i="4"/>
  <c r="F104" i="9" l="1"/>
  <c r="C103" i="9"/>
  <c r="B103" i="9"/>
  <c r="I105" i="9"/>
  <c r="D104" i="9"/>
  <c r="G172" i="9"/>
  <c r="U131" i="4"/>
  <c r="F105" i="9" l="1"/>
  <c r="C104" i="9"/>
  <c r="B104" i="9" s="1"/>
  <c r="I106" i="9"/>
  <c r="D105" i="9"/>
  <c r="G173" i="9"/>
  <c r="U132" i="4"/>
  <c r="F106" i="9" l="1"/>
  <c r="C105" i="9"/>
  <c r="B105" i="9" s="1"/>
  <c r="I107" i="9"/>
  <c r="D106" i="9"/>
  <c r="G174" i="9"/>
  <c r="U133" i="4"/>
  <c r="F107" i="9" l="1"/>
  <c r="C106" i="9"/>
  <c r="B106" i="9" s="1"/>
  <c r="I108" i="9"/>
  <c r="D107" i="9"/>
  <c r="G175" i="9"/>
  <c r="U134" i="4"/>
  <c r="F108" i="9" l="1"/>
  <c r="C107" i="9"/>
  <c r="B107" i="9" s="1"/>
  <c r="I109" i="9"/>
  <c r="D108" i="9"/>
  <c r="G176" i="9"/>
  <c r="U135" i="4"/>
  <c r="F109" i="9" l="1"/>
  <c r="C108" i="9"/>
  <c r="B108" i="9" s="1"/>
  <c r="I110" i="9"/>
  <c r="D109" i="9"/>
  <c r="G177" i="9"/>
  <c r="U136" i="4"/>
  <c r="F110" i="9" l="1"/>
  <c r="C109" i="9"/>
  <c r="B109" i="9" s="1"/>
  <c r="I111" i="9"/>
  <c r="D110" i="9"/>
  <c r="G178" i="9"/>
  <c r="U137" i="4"/>
  <c r="F111" i="9" l="1"/>
  <c r="C110" i="9"/>
  <c r="B110" i="9" s="1"/>
  <c r="I112" i="9"/>
  <c r="D111" i="9"/>
  <c r="G179" i="9"/>
  <c r="U138" i="4"/>
  <c r="F112" i="9" l="1"/>
  <c r="C111" i="9"/>
  <c r="B111" i="9" s="1"/>
  <c r="I113" i="9"/>
  <c r="D112" i="9"/>
  <c r="G180" i="9"/>
  <c r="U139" i="4"/>
  <c r="F113" i="9" l="1"/>
  <c r="C112" i="9"/>
  <c r="B112" i="9" s="1"/>
  <c r="I114" i="9"/>
  <c r="D113" i="9"/>
  <c r="G181" i="9"/>
  <c r="U140" i="4"/>
  <c r="F114" i="9" l="1"/>
  <c r="C113" i="9"/>
  <c r="B113" i="9" s="1"/>
  <c r="I115" i="9"/>
  <c r="D114" i="9"/>
  <c r="G182" i="9"/>
  <c r="U141" i="4"/>
  <c r="F115" i="9" l="1"/>
  <c r="C114" i="9"/>
  <c r="B114" i="9" s="1"/>
  <c r="I116" i="9"/>
  <c r="D115" i="9"/>
  <c r="G183" i="9"/>
  <c r="U142" i="4"/>
  <c r="F116" i="9" l="1"/>
  <c r="C115" i="9"/>
  <c r="B115" i="9" s="1"/>
  <c r="I117" i="9"/>
  <c r="D116" i="9"/>
  <c r="G184" i="9"/>
  <c r="U143" i="4"/>
  <c r="F117" i="9" l="1"/>
  <c r="C116" i="9"/>
  <c r="B116" i="9" s="1"/>
  <c r="I118" i="9"/>
  <c r="D117" i="9"/>
  <c r="G185" i="9"/>
  <c r="U144" i="4"/>
  <c r="F118" i="9" l="1"/>
  <c r="C117" i="9"/>
  <c r="B117" i="9" s="1"/>
  <c r="I119" i="9"/>
  <c r="D118" i="9"/>
  <c r="G186" i="9"/>
  <c r="U145" i="4"/>
  <c r="F119" i="9" l="1"/>
  <c r="C118" i="9"/>
  <c r="B118" i="9" s="1"/>
  <c r="I120" i="9"/>
  <c r="D119" i="9"/>
  <c r="G187" i="9"/>
  <c r="U146" i="4"/>
  <c r="F120" i="9" l="1"/>
  <c r="C119" i="9"/>
  <c r="B119" i="9"/>
  <c r="I121" i="9"/>
  <c r="D120" i="9"/>
  <c r="G188" i="9"/>
  <c r="U147" i="4"/>
  <c r="F121" i="9" l="1"/>
  <c r="C120" i="9"/>
  <c r="B120" i="9" s="1"/>
  <c r="I122" i="9"/>
  <c r="D121" i="9"/>
  <c r="G189" i="9"/>
  <c r="U148" i="4"/>
  <c r="F122" i="9" l="1"/>
  <c r="C121" i="9"/>
  <c r="B121" i="9" s="1"/>
  <c r="I123" i="9"/>
  <c r="D122" i="9"/>
  <c r="G190" i="9"/>
  <c r="U149" i="4"/>
  <c r="F123" i="9" l="1"/>
  <c r="C122" i="9"/>
  <c r="B122" i="9" s="1"/>
  <c r="I124" i="9"/>
  <c r="D123" i="9"/>
  <c r="G191" i="9"/>
  <c r="U150" i="4"/>
  <c r="F124" i="9" l="1"/>
  <c r="C123" i="9"/>
  <c r="B123" i="9" s="1"/>
  <c r="I125" i="9"/>
  <c r="D124" i="9"/>
  <c r="G192" i="9"/>
  <c r="U151" i="4"/>
  <c r="F125" i="9" l="1"/>
  <c r="C124" i="9"/>
  <c r="B124" i="9" s="1"/>
  <c r="I126" i="9"/>
  <c r="D125" i="9"/>
  <c r="G193" i="9"/>
  <c r="U152" i="4"/>
  <c r="F126" i="9" l="1"/>
  <c r="C125" i="9"/>
  <c r="B125" i="9" s="1"/>
  <c r="I127" i="9"/>
  <c r="D126" i="9"/>
  <c r="G194" i="9"/>
  <c r="U153" i="4"/>
  <c r="F127" i="9" l="1"/>
  <c r="C126" i="9"/>
  <c r="B126" i="9"/>
  <c r="I128" i="9"/>
  <c r="D127" i="9"/>
  <c r="G195" i="9"/>
  <c r="U154" i="4"/>
  <c r="F128" i="9" l="1"/>
  <c r="C127" i="9"/>
  <c r="B127" i="9" s="1"/>
  <c r="I129" i="9"/>
  <c r="D128" i="9"/>
  <c r="G196" i="9"/>
  <c r="U155" i="4"/>
  <c r="F129" i="9" l="1"/>
  <c r="C128" i="9"/>
  <c r="B128" i="9" s="1"/>
  <c r="I130" i="9"/>
  <c r="D129" i="9"/>
  <c r="G197" i="9"/>
  <c r="U156" i="4"/>
  <c r="F130" i="9" l="1"/>
  <c r="C129" i="9"/>
  <c r="B129" i="9" s="1"/>
  <c r="I131" i="9"/>
  <c r="D130" i="9"/>
  <c r="G198" i="9"/>
  <c r="U157" i="4"/>
  <c r="F131" i="9" l="1"/>
  <c r="C130" i="9"/>
  <c r="B130" i="9" s="1"/>
  <c r="I132" i="9"/>
  <c r="D131" i="9"/>
  <c r="G199" i="9"/>
  <c r="U158" i="4"/>
  <c r="F132" i="9" l="1"/>
  <c r="C131" i="9"/>
  <c r="B131" i="9" s="1"/>
  <c r="I133" i="9"/>
  <c r="D132" i="9"/>
  <c r="G200" i="9"/>
  <c r="U159" i="4"/>
  <c r="F133" i="9" l="1"/>
  <c r="C132" i="9"/>
  <c r="B132" i="9" s="1"/>
  <c r="I134" i="9"/>
  <c r="D133" i="9"/>
  <c r="G201" i="9"/>
  <c r="U160" i="4"/>
  <c r="F134" i="9" l="1"/>
  <c r="C133" i="9"/>
  <c r="B133" i="9" s="1"/>
  <c r="I135" i="9"/>
  <c r="D134" i="9"/>
  <c r="G202" i="9"/>
  <c r="U161" i="4"/>
  <c r="F135" i="9" l="1"/>
  <c r="C134" i="9"/>
  <c r="B134" i="9" s="1"/>
  <c r="I136" i="9"/>
  <c r="D135" i="9"/>
  <c r="G203" i="9"/>
  <c r="U162" i="4"/>
  <c r="F136" i="9" l="1"/>
  <c r="C135" i="9"/>
  <c r="B135" i="9" s="1"/>
  <c r="I137" i="9"/>
  <c r="D136" i="9"/>
  <c r="G204" i="9"/>
  <c r="U163" i="4"/>
  <c r="F137" i="9" l="1"/>
  <c r="C136" i="9"/>
  <c r="B136" i="9" s="1"/>
  <c r="I138" i="9"/>
  <c r="D137" i="9"/>
  <c r="G205" i="9"/>
  <c r="U164" i="4"/>
  <c r="F138" i="9" l="1"/>
  <c r="C137" i="9"/>
  <c r="B137" i="9" s="1"/>
  <c r="I139" i="9"/>
  <c r="D138" i="9"/>
  <c r="G206" i="9"/>
  <c r="U165" i="4"/>
  <c r="F139" i="9" l="1"/>
  <c r="C138" i="9"/>
  <c r="B138" i="9" s="1"/>
  <c r="I140" i="9"/>
  <c r="D139" i="9"/>
  <c r="G207" i="9"/>
  <c r="U166" i="4"/>
  <c r="F140" i="9" l="1"/>
  <c r="C139" i="9"/>
  <c r="B139" i="9" s="1"/>
  <c r="I141" i="9"/>
  <c r="D140" i="9"/>
  <c r="G208" i="9"/>
  <c r="U167" i="4"/>
  <c r="F141" i="9" l="1"/>
  <c r="C140" i="9"/>
  <c r="B140" i="9" s="1"/>
  <c r="I142" i="9"/>
  <c r="D141" i="9"/>
  <c r="G209" i="9"/>
  <c r="U168" i="4"/>
  <c r="F142" i="9" l="1"/>
  <c r="C141" i="9"/>
  <c r="B141" i="9" s="1"/>
  <c r="I143" i="9"/>
  <c r="D142" i="9"/>
  <c r="G210" i="9"/>
  <c r="U169" i="4"/>
  <c r="F143" i="9" l="1"/>
  <c r="C142" i="9"/>
  <c r="B142" i="9" s="1"/>
  <c r="I144" i="9"/>
  <c r="D143" i="9"/>
  <c r="G211" i="9"/>
  <c r="U170" i="4"/>
  <c r="F144" i="9" l="1"/>
  <c r="C143" i="9"/>
  <c r="B143" i="9" s="1"/>
  <c r="I145" i="9"/>
  <c r="D144" i="9"/>
  <c r="G212" i="9"/>
  <c r="U171" i="4"/>
  <c r="F145" i="9" l="1"/>
  <c r="C144" i="9"/>
  <c r="B144" i="9" s="1"/>
  <c r="I146" i="9"/>
  <c r="D145" i="9"/>
  <c r="G213" i="9"/>
  <c r="U172" i="4"/>
  <c r="F146" i="9" l="1"/>
  <c r="C145" i="9"/>
  <c r="B145" i="9" s="1"/>
  <c r="I147" i="9"/>
  <c r="D146" i="9"/>
  <c r="G214" i="9"/>
  <c r="U173" i="4"/>
  <c r="F147" i="9" l="1"/>
  <c r="C146" i="9"/>
  <c r="B146" i="9" s="1"/>
  <c r="I148" i="9"/>
  <c r="D147" i="9"/>
  <c r="G215" i="9"/>
  <c r="U174" i="4"/>
  <c r="F148" i="9" l="1"/>
  <c r="C147" i="9"/>
  <c r="B147" i="9" s="1"/>
  <c r="I149" i="9"/>
  <c r="D148" i="9"/>
  <c r="G216" i="9"/>
  <c r="U175" i="4"/>
  <c r="F149" i="9" l="1"/>
  <c r="C148" i="9"/>
  <c r="B148" i="9" s="1"/>
  <c r="I150" i="9"/>
  <c r="D149" i="9"/>
  <c r="G217" i="9"/>
  <c r="U176" i="4"/>
  <c r="F150" i="9" l="1"/>
  <c r="C149" i="9"/>
  <c r="B149" i="9" s="1"/>
  <c r="I151" i="9"/>
  <c r="D150" i="9"/>
  <c r="G218" i="9"/>
  <c r="U177" i="4"/>
  <c r="F151" i="9" l="1"/>
  <c r="C150" i="9"/>
  <c r="B150" i="9" s="1"/>
  <c r="I152" i="9"/>
  <c r="D151" i="9"/>
  <c r="G219" i="9"/>
  <c r="U178" i="4"/>
  <c r="F152" i="9" l="1"/>
  <c r="C151" i="9"/>
  <c r="B151" i="9" s="1"/>
  <c r="I153" i="9"/>
  <c r="D152" i="9"/>
  <c r="G220" i="9"/>
  <c r="U179" i="4"/>
  <c r="F153" i="9" l="1"/>
  <c r="C152" i="9"/>
  <c r="B152" i="9" s="1"/>
  <c r="I154" i="9"/>
  <c r="D153" i="9"/>
  <c r="G221" i="9"/>
  <c r="U180" i="4"/>
  <c r="F154" i="9" l="1"/>
  <c r="C153" i="9"/>
  <c r="B153" i="9" s="1"/>
  <c r="I155" i="9"/>
  <c r="D154" i="9"/>
  <c r="G222" i="9"/>
  <c r="U181" i="4"/>
  <c r="F155" i="9" l="1"/>
  <c r="C154" i="9"/>
  <c r="B154" i="9" s="1"/>
  <c r="I156" i="9"/>
  <c r="D155" i="9"/>
  <c r="G223" i="9"/>
  <c r="U182" i="4"/>
  <c r="F156" i="9" l="1"/>
  <c r="C155" i="9"/>
  <c r="B155" i="9" s="1"/>
  <c r="I157" i="9"/>
  <c r="D156" i="9"/>
  <c r="G224" i="9"/>
  <c r="U183" i="4"/>
  <c r="F157" i="9" l="1"/>
  <c r="C156" i="9"/>
  <c r="B156" i="9" s="1"/>
  <c r="I158" i="9"/>
  <c r="D157" i="9"/>
  <c r="G225" i="9"/>
  <c r="U184" i="4"/>
  <c r="F158" i="9" l="1"/>
  <c r="C157" i="9"/>
  <c r="B157" i="9" s="1"/>
  <c r="I159" i="9"/>
  <c r="D158" i="9"/>
  <c r="G226" i="9"/>
  <c r="U185" i="4"/>
  <c r="F159" i="9" l="1"/>
  <c r="C158" i="9"/>
  <c r="B158" i="9" s="1"/>
  <c r="I160" i="9"/>
  <c r="D159" i="9"/>
  <c r="G227" i="9"/>
  <c r="U186" i="4"/>
  <c r="F160" i="9" l="1"/>
  <c r="C159" i="9"/>
  <c r="B159" i="9" s="1"/>
  <c r="I161" i="9"/>
  <c r="D160" i="9"/>
  <c r="G228" i="9"/>
  <c r="E3" i="2"/>
  <c r="I53" i="7"/>
  <c r="F161" i="9" l="1"/>
  <c r="C160" i="9"/>
  <c r="B160" i="9" s="1"/>
  <c r="I162" i="9"/>
  <c r="D161" i="9"/>
  <c r="G229" i="9"/>
  <c r="F162" i="9" l="1"/>
  <c r="C161" i="9"/>
  <c r="B161" i="9" s="1"/>
  <c r="I163" i="9"/>
  <c r="D162" i="9"/>
  <c r="G230" i="9"/>
  <c r="F163" i="9" l="1"/>
  <c r="C162" i="9"/>
  <c r="B162" i="9" s="1"/>
  <c r="I164" i="9"/>
  <c r="D163" i="9"/>
  <c r="G231" i="9"/>
  <c r="F164" i="9" l="1"/>
  <c r="C163" i="9"/>
  <c r="B163" i="9" s="1"/>
  <c r="I165" i="9"/>
  <c r="D164" i="9"/>
  <c r="G232" i="9"/>
  <c r="F165" i="9" l="1"/>
  <c r="C164" i="9"/>
  <c r="B164" i="9" s="1"/>
  <c r="I166" i="9"/>
  <c r="D165" i="9"/>
  <c r="G233" i="9"/>
  <c r="F166" i="9" l="1"/>
  <c r="C165" i="9"/>
  <c r="B165" i="9" s="1"/>
  <c r="I167" i="9"/>
  <c r="D166" i="9"/>
  <c r="G234" i="9"/>
  <c r="F167" i="9" l="1"/>
  <c r="C166" i="9"/>
  <c r="B166" i="9" s="1"/>
  <c r="I168" i="9"/>
  <c r="D167" i="9"/>
  <c r="G235" i="9"/>
  <c r="F168" i="9" l="1"/>
  <c r="C167" i="9"/>
  <c r="B167" i="9" s="1"/>
  <c r="I169" i="9"/>
  <c r="D168" i="9"/>
  <c r="G236" i="9"/>
  <c r="F169" i="9" l="1"/>
  <c r="C168" i="9"/>
  <c r="B168" i="9" s="1"/>
  <c r="I170" i="9"/>
  <c r="D169" i="9"/>
  <c r="G237" i="9"/>
  <c r="F170" i="9" l="1"/>
  <c r="C169" i="9"/>
  <c r="B169" i="9" s="1"/>
  <c r="I171" i="9"/>
  <c r="D170" i="9"/>
  <c r="G238" i="9"/>
  <c r="F171" i="9" l="1"/>
  <c r="C170" i="9"/>
  <c r="B170" i="9" s="1"/>
  <c r="I172" i="9"/>
  <c r="D171" i="9"/>
  <c r="G239" i="9"/>
  <c r="F172" i="9" l="1"/>
  <c r="C171" i="9"/>
  <c r="B171" i="9" s="1"/>
  <c r="I173" i="9"/>
  <c r="D172" i="9"/>
  <c r="G240" i="9"/>
  <c r="F173" i="9" l="1"/>
  <c r="C172" i="9"/>
  <c r="B172" i="9" s="1"/>
  <c r="I174" i="9"/>
  <c r="D173" i="9"/>
  <c r="G241" i="9"/>
  <c r="F174" i="9" l="1"/>
  <c r="C173" i="9"/>
  <c r="B173" i="9" s="1"/>
  <c r="I175" i="9"/>
  <c r="D174" i="9"/>
  <c r="G242" i="9"/>
  <c r="F175" i="9" l="1"/>
  <c r="C174" i="9"/>
  <c r="B174" i="9" s="1"/>
  <c r="I176" i="9"/>
  <c r="D175" i="9"/>
  <c r="G243" i="9"/>
  <c r="F176" i="9" l="1"/>
  <c r="C175" i="9"/>
  <c r="B175" i="9" s="1"/>
  <c r="I177" i="9"/>
  <c r="D176" i="9"/>
  <c r="G244" i="9"/>
  <c r="F177" i="9" l="1"/>
  <c r="C176" i="9"/>
  <c r="B176" i="9" s="1"/>
  <c r="I178" i="9"/>
  <c r="D177" i="9"/>
  <c r="G245" i="9"/>
  <c r="F178" i="9" l="1"/>
  <c r="C177" i="9"/>
  <c r="B177" i="9" s="1"/>
  <c r="I179" i="9"/>
  <c r="D178" i="9"/>
  <c r="G246" i="9"/>
  <c r="F179" i="9" l="1"/>
  <c r="C178" i="9"/>
  <c r="B178" i="9" s="1"/>
  <c r="I180" i="9"/>
  <c r="D179" i="9"/>
  <c r="G247" i="9"/>
  <c r="F180" i="9" l="1"/>
  <c r="C179" i="9"/>
  <c r="B179" i="9" s="1"/>
  <c r="I181" i="9"/>
  <c r="D180" i="9"/>
  <c r="G248" i="9"/>
  <c r="F181" i="9" l="1"/>
  <c r="C180" i="9"/>
  <c r="B180" i="9" s="1"/>
  <c r="I182" i="9"/>
  <c r="D181" i="9"/>
  <c r="G249" i="9"/>
  <c r="F182" i="9" l="1"/>
  <c r="C181" i="9"/>
  <c r="B181" i="9" s="1"/>
  <c r="I183" i="9"/>
  <c r="D182" i="9"/>
  <c r="G250" i="9"/>
  <c r="F183" i="9" l="1"/>
  <c r="C182" i="9"/>
  <c r="B182" i="9" s="1"/>
  <c r="I184" i="9"/>
  <c r="D183" i="9"/>
  <c r="G251" i="9"/>
  <c r="F184" i="9" l="1"/>
  <c r="C183" i="9"/>
  <c r="B183" i="9" s="1"/>
  <c r="I185" i="9"/>
  <c r="D184" i="9"/>
  <c r="G252" i="9"/>
  <c r="F185" i="9" l="1"/>
  <c r="C184" i="9"/>
  <c r="B184" i="9" s="1"/>
  <c r="I186" i="9"/>
  <c r="D185" i="9"/>
  <c r="G253" i="9"/>
  <c r="F186" i="9" l="1"/>
  <c r="C185" i="9"/>
  <c r="B185" i="9" s="1"/>
  <c r="I187" i="9"/>
  <c r="D186" i="9"/>
  <c r="G254" i="9"/>
  <c r="F187" i="9" l="1"/>
  <c r="C186" i="9"/>
  <c r="B186" i="9" s="1"/>
  <c r="I188" i="9"/>
  <c r="D187" i="9"/>
  <c r="G255" i="9"/>
  <c r="F188" i="9" l="1"/>
  <c r="C187" i="9"/>
  <c r="B187" i="9" s="1"/>
  <c r="I189" i="9"/>
  <c r="D188" i="9"/>
  <c r="G256" i="9"/>
  <c r="F189" i="9" l="1"/>
  <c r="C188" i="9"/>
  <c r="B188" i="9" s="1"/>
  <c r="I190" i="9"/>
  <c r="D189" i="9"/>
  <c r="G257" i="9"/>
  <c r="F190" i="9" l="1"/>
  <c r="C189" i="9"/>
  <c r="B189" i="9" s="1"/>
  <c r="I191" i="9"/>
  <c r="D190" i="9"/>
  <c r="G258" i="9"/>
  <c r="F191" i="9" l="1"/>
  <c r="C190" i="9"/>
  <c r="B190" i="9" s="1"/>
  <c r="I192" i="9"/>
  <c r="D191" i="9"/>
  <c r="G259" i="9"/>
  <c r="F192" i="9" l="1"/>
  <c r="C191" i="9"/>
  <c r="B191" i="9" s="1"/>
  <c r="I193" i="9"/>
  <c r="D192" i="9"/>
  <c r="G260" i="9"/>
  <c r="F193" i="9" l="1"/>
  <c r="C192" i="9"/>
  <c r="B192" i="9" s="1"/>
  <c r="I194" i="9"/>
  <c r="D193" i="9"/>
  <c r="G261" i="9"/>
  <c r="F194" i="9" l="1"/>
  <c r="C193" i="9"/>
  <c r="B193" i="9" s="1"/>
  <c r="I195" i="9"/>
  <c r="D194" i="9"/>
  <c r="G262" i="9"/>
  <c r="F195" i="9" l="1"/>
  <c r="C194" i="9"/>
  <c r="B194" i="9" s="1"/>
  <c r="I196" i="9"/>
  <c r="D195" i="9"/>
  <c r="G263" i="9"/>
  <c r="F196" i="9" l="1"/>
  <c r="C195" i="9"/>
  <c r="B195" i="9" s="1"/>
  <c r="I197" i="9"/>
  <c r="D196" i="9"/>
  <c r="G264" i="9"/>
  <c r="F197" i="9" l="1"/>
  <c r="C196" i="9"/>
  <c r="B196" i="9" s="1"/>
  <c r="I198" i="9"/>
  <c r="D197" i="9"/>
  <c r="G265" i="9"/>
  <c r="F198" i="9" l="1"/>
  <c r="C197" i="9"/>
  <c r="B197" i="9" s="1"/>
  <c r="I199" i="9"/>
  <c r="D198" i="9"/>
  <c r="G266" i="9"/>
  <c r="F199" i="9" l="1"/>
  <c r="C198" i="9"/>
  <c r="B198" i="9" s="1"/>
  <c r="I200" i="9"/>
  <c r="D199" i="9"/>
  <c r="G267" i="9"/>
  <c r="F200" i="9" l="1"/>
  <c r="C199" i="9"/>
  <c r="B199" i="9" s="1"/>
  <c r="I201" i="9"/>
  <c r="D200" i="9"/>
  <c r="G268" i="9"/>
  <c r="F201" i="9" l="1"/>
  <c r="C200" i="9"/>
  <c r="B200" i="9" s="1"/>
  <c r="I202" i="9"/>
  <c r="D201" i="9"/>
  <c r="G269" i="9"/>
  <c r="F202" i="9" l="1"/>
  <c r="C201" i="9"/>
  <c r="B201" i="9" s="1"/>
  <c r="I203" i="9"/>
  <c r="D202" i="9"/>
  <c r="G270" i="9"/>
  <c r="F203" i="9" l="1"/>
  <c r="C202" i="9"/>
  <c r="B202" i="9" s="1"/>
  <c r="I204" i="9"/>
  <c r="D203" i="9"/>
  <c r="G271" i="9"/>
  <c r="F204" i="9" l="1"/>
  <c r="C203" i="9"/>
  <c r="B203" i="9" s="1"/>
  <c r="I205" i="9"/>
  <c r="D204" i="9"/>
  <c r="G272" i="9"/>
  <c r="F205" i="9" l="1"/>
  <c r="C204" i="9"/>
  <c r="B204" i="9" s="1"/>
  <c r="I206" i="9"/>
  <c r="D205" i="9"/>
  <c r="G273" i="9"/>
  <c r="F206" i="9" l="1"/>
  <c r="C205" i="9"/>
  <c r="B205" i="9" s="1"/>
  <c r="I207" i="9"/>
  <c r="D206" i="9"/>
  <c r="G274" i="9"/>
  <c r="F207" i="9" l="1"/>
  <c r="C206" i="9"/>
  <c r="B206" i="9" s="1"/>
  <c r="I208" i="9"/>
  <c r="D207" i="9"/>
  <c r="G275" i="9"/>
  <c r="F208" i="9" l="1"/>
  <c r="C207" i="9"/>
  <c r="B207" i="9" s="1"/>
  <c r="I209" i="9"/>
  <c r="D208" i="9"/>
  <c r="G276" i="9"/>
  <c r="F209" i="9" l="1"/>
  <c r="C208" i="9"/>
  <c r="B208" i="9" s="1"/>
  <c r="I210" i="9"/>
  <c r="D209" i="9"/>
  <c r="G277" i="9"/>
  <c r="F210" i="9" l="1"/>
  <c r="C209" i="9"/>
  <c r="B209" i="9" s="1"/>
  <c r="I211" i="9"/>
  <c r="D210" i="9"/>
  <c r="G278" i="9"/>
  <c r="F211" i="9" l="1"/>
  <c r="C210" i="9"/>
  <c r="B210" i="9" s="1"/>
  <c r="I212" i="9"/>
  <c r="D211" i="9"/>
  <c r="G279" i="9"/>
  <c r="F212" i="9" l="1"/>
  <c r="C211" i="9"/>
  <c r="B211" i="9" s="1"/>
  <c r="I213" i="9"/>
  <c r="D212" i="9"/>
  <c r="G280" i="9"/>
  <c r="F213" i="9" l="1"/>
  <c r="C212" i="9"/>
  <c r="B212" i="9" s="1"/>
  <c r="I214" i="9"/>
  <c r="D213" i="9"/>
  <c r="G281" i="9"/>
  <c r="F214" i="9" l="1"/>
  <c r="C213" i="9"/>
  <c r="B213" i="9" s="1"/>
  <c r="I215" i="9"/>
  <c r="D214" i="9"/>
  <c r="G282" i="9"/>
  <c r="F215" i="9" l="1"/>
  <c r="C214" i="9"/>
  <c r="B214" i="9" s="1"/>
  <c r="I216" i="9"/>
  <c r="D215" i="9"/>
  <c r="G283" i="9"/>
  <c r="F216" i="9" l="1"/>
  <c r="C215" i="9"/>
  <c r="B215" i="9" s="1"/>
  <c r="I217" i="9"/>
  <c r="D216" i="9"/>
  <c r="G284" i="9"/>
  <c r="F217" i="9" l="1"/>
  <c r="C216" i="9"/>
  <c r="B216" i="9" s="1"/>
  <c r="I218" i="9"/>
  <c r="D217" i="9"/>
  <c r="G285" i="9"/>
  <c r="F218" i="9" l="1"/>
  <c r="C217" i="9"/>
  <c r="B217" i="9" s="1"/>
  <c r="I219" i="9"/>
  <c r="D218" i="9"/>
  <c r="G286" i="9"/>
  <c r="F219" i="9" l="1"/>
  <c r="C218" i="9"/>
  <c r="B218" i="9" s="1"/>
  <c r="I220" i="9"/>
  <c r="D219" i="9"/>
  <c r="G287" i="9"/>
  <c r="F220" i="9" l="1"/>
  <c r="C219" i="9"/>
  <c r="B219" i="9" s="1"/>
  <c r="I221" i="9"/>
  <c r="D220" i="9"/>
  <c r="G288" i="9"/>
  <c r="F221" i="9" l="1"/>
  <c r="C220" i="9"/>
  <c r="B220" i="9" s="1"/>
  <c r="I222" i="9"/>
  <c r="D221" i="9"/>
  <c r="G289" i="9"/>
  <c r="F222" i="9" l="1"/>
  <c r="C221" i="9"/>
  <c r="B221" i="9" s="1"/>
  <c r="I223" i="9"/>
  <c r="D222" i="9"/>
  <c r="G290" i="9"/>
  <c r="F223" i="9" l="1"/>
  <c r="C222" i="9"/>
  <c r="B222" i="9" s="1"/>
  <c r="I224" i="9"/>
  <c r="D223" i="9"/>
  <c r="G291" i="9"/>
  <c r="F224" i="9" l="1"/>
  <c r="C223" i="9"/>
  <c r="B223" i="9" s="1"/>
  <c r="I225" i="9"/>
  <c r="D224" i="9"/>
  <c r="G292" i="9"/>
  <c r="F225" i="9" l="1"/>
  <c r="C224" i="9"/>
  <c r="B224" i="9" s="1"/>
  <c r="I226" i="9"/>
  <c r="D225" i="9"/>
  <c r="G293" i="9"/>
  <c r="F226" i="9" l="1"/>
  <c r="C225" i="9"/>
  <c r="B225" i="9" s="1"/>
  <c r="I227" i="9"/>
  <c r="D226" i="9"/>
  <c r="G294" i="9"/>
  <c r="F227" i="9" l="1"/>
  <c r="C226" i="9"/>
  <c r="B226" i="9" s="1"/>
  <c r="I228" i="9"/>
  <c r="D227" i="9"/>
  <c r="G295" i="9"/>
  <c r="F228" i="9" l="1"/>
  <c r="C227" i="9"/>
  <c r="B227" i="9" s="1"/>
  <c r="I229" i="9"/>
  <c r="D228" i="9"/>
  <c r="G296" i="9"/>
  <c r="F229" i="9" l="1"/>
  <c r="C228" i="9"/>
  <c r="B228" i="9" s="1"/>
  <c r="I230" i="9"/>
  <c r="D229" i="9"/>
  <c r="G297" i="9"/>
  <c r="F230" i="9" l="1"/>
  <c r="C229" i="9"/>
  <c r="B229" i="9" s="1"/>
  <c r="I231" i="9"/>
  <c r="D230" i="9"/>
  <c r="G298" i="9"/>
  <c r="F231" i="9" l="1"/>
  <c r="C230" i="9"/>
  <c r="B230" i="9" s="1"/>
  <c r="I232" i="9"/>
  <c r="D231" i="9"/>
  <c r="G299" i="9"/>
  <c r="F232" i="9" l="1"/>
  <c r="C231" i="9"/>
  <c r="B231" i="9" s="1"/>
  <c r="I233" i="9"/>
  <c r="D232" i="9"/>
  <c r="G300" i="9"/>
  <c r="F233" i="9" l="1"/>
  <c r="C232" i="9"/>
  <c r="B232" i="9" s="1"/>
  <c r="I234" i="9"/>
  <c r="D233" i="9"/>
  <c r="G301" i="9"/>
  <c r="F234" i="9" l="1"/>
  <c r="C233" i="9"/>
  <c r="B233" i="9" s="1"/>
  <c r="I235" i="9"/>
  <c r="D234" i="9"/>
  <c r="G302" i="9"/>
  <c r="F235" i="9" l="1"/>
  <c r="C234" i="9"/>
  <c r="B234" i="9" s="1"/>
  <c r="I236" i="9"/>
  <c r="D235" i="9"/>
  <c r="G303" i="9"/>
  <c r="F236" i="9" l="1"/>
  <c r="C235" i="9"/>
  <c r="B235" i="9" s="1"/>
  <c r="I237" i="9"/>
  <c r="D236" i="9"/>
  <c r="G304" i="9"/>
  <c r="F237" i="9" l="1"/>
  <c r="C236" i="9"/>
  <c r="B236" i="9" s="1"/>
  <c r="I238" i="9"/>
  <c r="D237" i="9"/>
  <c r="G305" i="9"/>
  <c r="F238" i="9" l="1"/>
  <c r="C237" i="9"/>
  <c r="B237" i="9" s="1"/>
  <c r="I239" i="9"/>
  <c r="D238" i="9"/>
  <c r="G307" i="9"/>
  <c r="F239" i="9" l="1"/>
  <c r="C238" i="9"/>
  <c r="B238" i="9" s="1"/>
  <c r="I240" i="9"/>
  <c r="D239" i="9"/>
  <c r="G308" i="9"/>
  <c r="F240" i="9" l="1"/>
  <c r="C239" i="9"/>
  <c r="B239" i="9"/>
  <c r="I241" i="9"/>
  <c r="D240" i="9"/>
  <c r="G309" i="9"/>
  <c r="F241" i="9" l="1"/>
  <c r="C240" i="9"/>
  <c r="B240" i="9" s="1"/>
  <c r="I242" i="9"/>
  <c r="D241" i="9"/>
  <c r="G310" i="9"/>
  <c r="F242" i="9" l="1"/>
  <c r="C241" i="9"/>
  <c r="B241" i="9" s="1"/>
  <c r="I243" i="9"/>
  <c r="D242" i="9"/>
  <c r="G311" i="9"/>
  <c r="F243" i="9" l="1"/>
  <c r="C242" i="9"/>
  <c r="B242" i="9" s="1"/>
  <c r="I244" i="9"/>
  <c r="D243" i="9"/>
  <c r="G312" i="9"/>
  <c r="F244" i="9" l="1"/>
  <c r="C243" i="9"/>
  <c r="B243" i="9" s="1"/>
  <c r="I245" i="9"/>
  <c r="D244" i="9"/>
  <c r="G313" i="9"/>
  <c r="F245" i="9" l="1"/>
  <c r="C244" i="9"/>
  <c r="B244" i="9" s="1"/>
  <c r="I246" i="9"/>
  <c r="D245" i="9"/>
  <c r="G314" i="9"/>
  <c r="F246" i="9" l="1"/>
  <c r="C245" i="9"/>
  <c r="B245" i="9" s="1"/>
  <c r="I247" i="9"/>
  <c r="D246" i="9"/>
  <c r="G315" i="9"/>
  <c r="F247" i="9" l="1"/>
  <c r="C246" i="9"/>
  <c r="B246" i="9" s="1"/>
  <c r="I248" i="9"/>
  <c r="D247" i="9"/>
  <c r="G316" i="9"/>
  <c r="F248" i="9" l="1"/>
  <c r="C247" i="9"/>
  <c r="B247" i="9" s="1"/>
  <c r="I249" i="9"/>
  <c r="D248" i="9"/>
  <c r="G317" i="9"/>
  <c r="F249" i="9" l="1"/>
  <c r="C248" i="9"/>
  <c r="B248" i="9" s="1"/>
  <c r="I250" i="9"/>
  <c r="D249" i="9"/>
  <c r="G318" i="9"/>
  <c r="F250" i="9" l="1"/>
  <c r="C249" i="9"/>
  <c r="B249" i="9" s="1"/>
  <c r="I251" i="9"/>
  <c r="D250" i="9"/>
  <c r="G319" i="9"/>
  <c r="F251" i="9" l="1"/>
  <c r="C250" i="9"/>
  <c r="B250" i="9" s="1"/>
  <c r="I252" i="9"/>
  <c r="D251" i="9"/>
  <c r="G320" i="9"/>
  <c r="F252" i="9" l="1"/>
  <c r="C251" i="9"/>
  <c r="B251" i="9" s="1"/>
  <c r="I253" i="9"/>
  <c r="D252" i="9"/>
  <c r="G321" i="9"/>
  <c r="F253" i="9" l="1"/>
  <c r="C252" i="9"/>
  <c r="B252" i="9"/>
  <c r="I254" i="9"/>
  <c r="D253" i="9"/>
  <c r="G322" i="9"/>
  <c r="F254" i="9" l="1"/>
  <c r="C253" i="9"/>
  <c r="B253" i="9" s="1"/>
  <c r="I255" i="9"/>
  <c r="D254" i="9"/>
  <c r="G323" i="9"/>
  <c r="F255" i="9" l="1"/>
  <c r="C254" i="9"/>
  <c r="B254" i="9" s="1"/>
  <c r="I256" i="9"/>
  <c r="D255" i="9"/>
  <c r="G324" i="9"/>
  <c r="F256" i="9" l="1"/>
  <c r="C255" i="9"/>
  <c r="B255" i="9" s="1"/>
  <c r="I257" i="9"/>
  <c r="D256" i="9"/>
  <c r="G325" i="9"/>
  <c r="F257" i="9" l="1"/>
  <c r="C256" i="9"/>
  <c r="B256" i="9"/>
  <c r="I258" i="9"/>
  <c r="D257" i="9"/>
  <c r="G326" i="9"/>
  <c r="F258" i="9" l="1"/>
  <c r="C257" i="9"/>
  <c r="B257" i="9" s="1"/>
  <c r="I259" i="9"/>
  <c r="D258" i="9"/>
  <c r="G327" i="9"/>
  <c r="F259" i="9" l="1"/>
  <c r="C258" i="9"/>
  <c r="B258" i="9"/>
  <c r="I260" i="9"/>
  <c r="D259" i="9"/>
  <c r="G328" i="9"/>
  <c r="F260" i="9" l="1"/>
  <c r="C259" i="9"/>
  <c r="B259" i="9" s="1"/>
  <c r="I261" i="9"/>
  <c r="D260" i="9"/>
  <c r="G329" i="9"/>
  <c r="F261" i="9" l="1"/>
  <c r="C260" i="9"/>
  <c r="B260" i="9"/>
  <c r="I262" i="9"/>
  <c r="D261" i="9"/>
  <c r="G330" i="9"/>
  <c r="F262" i="9" l="1"/>
  <c r="C261" i="9"/>
  <c r="B261" i="9" s="1"/>
  <c r="I263" i="9"/>
  <c r="D262" i="9"/>
  <c r="G331" i="9"/>
  <c r="F263" i="9" l="1"/>
  <c r="C262" i="9"/>
  <c r="B262" i="9" s="1"/>
  <c r="I264" i="9"/>
  <c r="D263" i="9"/>
  <c r="G332" i="9"/>
  <c r="F264" i="9" l="1"/>
  <c r="C263" i="9"/>
  <c r="B263" i="9" s="1"/>
  <c r="I265" i="9"/>
  <c r="D264" i="9"/>
  <c r="G333" i="9"/>
  <c r="F265" i="9" l="1"/>
  <c r="C264" i="9"/>
  <c r="B264" i="9" s="1"/>
  <c r="I266" i="9"/>
  <c r="D265" i="9"/>
  <c r="G334" i="9"/>
  <c r="F266" i="9" l="1"/>
  <c r="C265" i="9"/>
  <c r="B265" i="9" s="1"/>
  <c r="I267" i="9"/>
  <c r="D266" i="9"/>
  <c r="G335" i="9"/>
  <c r="F267" i="9" l="1"/>
  <c r="C266" i="9"/>
  <c r="B266" i="9" s="1"/>
  <c r="I268" i="9"/>
  <c r="D267" i="9"/>
  <c r="G336" i="9"/>
  <c r="F268" i="9" l="1"/>
  <c r="C267" i="9"/>
  <c r="B267" i="9" s="1"/>
  <c r="I269" i="9"/>
  <c r="D268" i="9"/>
  <c r="G337" i="9"/>
  <c r="F269" i="9" l="1"/>
  <c r="C268" i="9"/>
  <c r="B268" i="9" s="1"/>
  <c r="I270" i="9"/>
  <c r="D269" i="9"/>
  <c r="G338" i="9"/>
  <c r="F270" i="9" l="1"/>
  <c r="C269" i="9"/>
  <c r="B269" i="9" s="1"/>
  <c r="I271" i="9"/>
  <c r="D270" i="9"/>
  <c r="G339" i="9"/>
  <c r="F271" i="9" l="1"/>
  <c r="C270" i="9"/>
  <c r="B270" i="9" s="1"/>
  <c r="I272" i="9"/>
  <c r="D271" i="9"/>
  <c r="G340" i="9"/>
  <c r="F272" i="9" l="1"/>
  <c r="C271" i="9"/>
  <c r="B271" i="9" s="1"/>
  <c r="I273" i="9"/>
  <c r="D272" i="9"/>
  <c r="G341" i="9"/>
  <c r="F273" i="9" l="1"/>
  <c r="C272" i="9"/>
  <c r="B272" i="9" s="1"/>
  <c r="I274" i="9"/>
  <c r="D273" i="9"/>
  <c r="G342" i="9"/>
  <c r="F274" i="9" l="1"/>
  <c r="C273" i="9"/>
  <c r="B273" i="9" s="1"/>
  <c r="I275" i="9"/>
  <c r="D274" i="9"/>
  <c r="G343" i="9"/>
  <c r="F275" i="9" l="1"/>
  <c r="C274" i="9"/>
  <c r="B274" i="9"/>
  <c r="I276" i="9"/>
  <c r="D275" i="9"/>
  <c r="G344" i="9"/>
  <c r="F276" i="9" l="1"/>
  <c r="C275" i="9"/>
  <c r="B275" i="9" s="1"/>
  <c r="I277" i="9"/>
  <c r="D276" i="9"/>
  <c r="G345" i="9"/>
  <c r="F277" i="9" l="1"/>
  <c r="C276" i="9"/>
  <c r="B276" i="9" s="1"/>
  <c r="I278" i="9"/>
  <c r="D277" i="9"/>
  <c r="G346" i="9"/>
  <c r="F278" i="9" l="1"/>
  <c r="C277" i="9"/>
  <c r="B277" i="9" s="1"/>
  <c r="I279" i="9"/>
  <c r="D278" i="9"/>
  <c r="G347" i="9"/>
  <c r="F279" i="9" l="1"/>
  <c r="C278" i="9"/>
  <c r="B278" i="9" s="1"/>
  <c r="I280" i="9"/>
  <c r="D279" i="9"/>
  <c r="G348" i="9"/>
  <c r="F280" i="9" l="1"/>
  <c r="C279" i="9"/>
  <c r="B279" i="9" s="1"/>
  <c r="I281" i="9"/>
  <c r="D280" i="9"/>
  <c r="G349" i="9"/>
  <c r="F281" i="9" l="1"/>
  <c r="C280" i="9"/>
  <c r="B280" i="9" s="1"/>
  <c r="I282" i="9"/>
  <c r="D281" i="9"/>
  <c r="G350" i="9"/>
  <c r="F282" i="9" l="1"/>
  <c r="C281" i="9"/>
  <c r="B281" i="9" s="1"/>
  <c r="I283" i="9"/>
  <c r="D282" i="9"/>
  <c r="G351" i="9"/>
  <c r="F283" i="9" l="1"/>
  <c r="C282" i="9"/>
  <c r="B282" i="9" s="1"/>
  <c r="I284" i="9"/>
  <c r="D283" i="9"/>
  <c r="G352" i="9"/>
  <c r="F284" i="9" l="1"/>
  <c r="C283" i="9"/>
  <c r="B283" i="9" s="1"/>
  <c r="I285" i="9"/>
  <c r="D284" i="9"/>
  <c r="G353" i="9"/>
  <c r="F285" i="9" l="1"/>
  <c r="C284" i="9"/>
  <c r="B284" i="9" s="1"/>
  <c r="I286" i="9"/>
  <c r="D285" i="9"/>
  <c r="G354" i="9"/>
  <c r="F286" i="9" l="1"/>
  <c r="C285" i="9"/>
  <c r="B285" i="9" s="1"/>
  <c r="I287" i="9"/>
  <c r="D286" i="9"/>
  <c r="G355" i="9"/>
  <c r="F287" i="9" l="1"/>
  <c r="C286" i="9"/>
  <c r="B286" i="9" s="1"/>
  <c r="I288" i="9"/>
  <c r="D287" i="9"/>
  <c r="G356" i="9"/>
  <c r="F288" i="9" l="1"/>
  <c r="C287" i="9"/>
  <c r="B287" i="9" s="1"/>
  <c r="I289" i="9"/>
  <c r="D288" i="9"/>
  <c r="G357" i="9"/>
  <c r="F289" i="9" l="1"/>
  <c r="C288" i="9"/>
  <c r="B288" i="9" s="1"/>
  <c r="I290" i="9"/>
  <c r="D289" i="9"/>
  <c r="G358" i="9"/>
  <c r="F290" i="9" l="1"/>
  <c r="C289" i="9"/>
  <c r="B289" i="9" s="1"/>
  <c r="I291" i="9"/>
  <c r="D290" i="9"/>
  <c r="G359" i="9"/>
  <c r="F291" i="9" l="1"/>
  <c r="C290" i="9"/>
  <c r="B290" i="9" s="1"/>
  <c r="I292" i="9"/>
  <c r="D291" i="9"/>
  <c r="G360" i="9"/>
  <c r="F292" i="9" l="1"/>
  <c r="C291" i="9"/>
  <c r="B291" i="9" s="1"/>
  <c r="I293" i="9"/>
  <c r="D292" i="9"/>
  <c r="G361" i="9"/>
  <c r="F293" i="9" l="1"/>
  <c r="C292" i="9"/>
  <c r="B292" i="9" s="1"/>
  <c r="I294" i="9"/>
  <c r="D293" i="9"/>
  <c r="G362" i="9"/>
  <c r="F294" i="9" l="1"/>
  <c r="C293" i="9"/>
  <c r="B293" i="9" s="1"/>
  <c r="I295" i="9"/>
  <c r="D294" i="9"/>
  <c r="G363" i="9"/>
  <c r="F295" i="9" l="1"/>
  <c r="C294" i="9"/>
  <c r="B294" i="9"/>
  <c r="I296" i="9"/>
  <c r="D295" i="9"/>
  <c r="G364" i="9"/>
  <c r="F296" i="9" l="1"/>
  <c r="C295" i="9"/>
  <c r="B295" i="9" s="1"/>
  <c r="I297" i="9"/>
  <c r="D296" i="9"/>
  <c r="G365" i="9"/>
  <c r="F297" i="9" l="1"/>
  <c r="C296" i="9"/>
  <c r="B296" i="9"/>
  <c r="I298" i="9"/>
  <c r="D297" i="9"/>
  <c r="G366" i="9"/>
  <c r="F298" i="9" l="1"/>
  <c r="C297" i="9"/>
  <c r="B297" i="9" s="1"/>
  <c r="I299" i="9"/>
  <c r="D298" i="9"/>
  <c r="F299" i="9" l="1"/>
  <c r="C298" i="9"/>
  <c r="B298" i="9" s="1"/>
  <c r="I300" i="9"/>
  <c r="D299" i="9"/>
  <c r="F300" i="9" l="1"/>
  <c r="C299" i="9"/>
  <c r="B299" i="9"/>
  <c r="I301" i="9"/>
  <c r="D300" i="9"/>
  <c r="F301" i="9" l="1"/>
  <c r="C300" i="9"/>
  <c r="B300" i="9" s="1"/>
  <c r="I302" i="9"/>
  <c r="D301" i="9"/>
  <c r="F302" i="9" l="1"/>
  <c r="C301" i="9"/>
  <c r="B301" i="9" s="1"/>
  <c r="I303" i="9"/>
  <c r="D302" i="9"/>
  <c r="F303" i="9" l="1"/>
  <c r="C302" i="9"/>
  <c r="B302" i="9" s="1"/>
  <c r="I304" i="9"/>
  <c r="D303" i="9"/>
  <c r="F304" i="9" l="1"/>
  <c r="C303" i="9"/>
  <c r="B303" i="9" s="1"/>
  <c r="I305" i="9"/>
  <c r="D304" i="9"/>
  <c r="F305" i="9" l="1"/>
  <c r="C304" i="9"/>
  <c r="B304" i="9" s="1"/>
  <c r="I306" i="9"/>
  <c r="D305" i="9"/>
  <c r="F306" i="9" l="1"/>
  <c r="C305" i="9"/>
  <c r="B305" i="9" s="1"/>
  <c r="I307" i="9"/>
  <c r="D306" i="9"/>
  <c r="F307" i="9" l="1"/>
  <c r="C306" i="9"/>
  <c r="B306" i="9" s="1"/>
  <c r="I308" i="9"/>
  <c r="D307" i="9"/>
  <c r="F308" i="9" l="1"/>
  <c r="C307" i="9"/>
  <c r="B307" i="9" s="1"/>
  <c r="I309" i="9"/>
  <c r="D308" i="9"/>
  <c r="F309" i="9" l="1"/>
  <c r="C308" i="9"/>
  <c r="B308" i="9" s="1"/>
  <c r="I310" i="9"/>
  <c r="D309" i="9"/>
  <c r="F310" i="9" l="1"/>
  <c r="C309" i="9"/>
  <c r="B309" i="9" s="1"/>
  <c r="I311" i="9"/>
  <c r="D310" i="9"/>
  <c r="F311" i="9" l="1"/>
  <c r="C310" i="9"/>
  <c r="B310" i="9" s="1"/>
  <c r="I312" i="9"/>
  <c r="D311" i="9"/>
  <c r="F312" i="9" l="1"/>
  <c r="C311" i="9"/>
  <c r="B311" i="9" s="1"/>
  <c r="I313" i="9"/>
  <c r="D312" i="9"/>
  <c r="F313" i="9" l="1"/>
  <c r="C312" i="9"/>
  <c r="B312" i="9" s="1"/>
  <c r="I314" i="9"/>
  <c r="D313" i="9"/>
  <c r="F314" i="9" l="1"/>
  <c r="C313" i="9"/>
  <c r="B313" i="9" s="1"/>
  <c r="I315" i="9"/>
  <c r="D314" i="9"/>
  <c r="F315" i="9" l="1"/>
  <c r="C314" i="9"/>
  <c r="B314" i="9" s="1"/>
  <c r="I316" i="9"/>
  <c r="D315" i="9"/>
  <c r="F316" i="9" l="1"/>
  <c r="C315" i="9"/>
  <c r="B315" i="9"/>
  <c r="I317" i="9"/>
  <c r="D316" i="9"/>
  <c r="F317" i="9" l="1"/>
  <c r="C316" i="9"/>
  <c r="B316" i="9" s="1"/>
  <c r="I318" i="9"/>
  <c r="D317" i="9"/>
  <c r="F318" i="9" l="1"/>
  <c r="C317" i="9"/>
  <c r="B317" i="9" s="1"/>
  <c r="I319" i="9"/>
  <c r="D318" i="9"/>
  <c r="F319" i="9" l="1"/>
  <c r="C318" i="9"/>
  <c r="B318" i="9" s="1"/>
  <c r="I320" i="9"/>
  <c r="D319" i="9"/>
  <c r="F320" i="9" l="1"/>
  <c r="C319" i="9"/>
  <c r="B319" i="9" s="1"/>
  <c r="I321" i="9"/>
  <c r="D320" i="9"/>
  <c r="F321" i="9" l="1"/>
  <c r="C320" i="9"/>
  <c r="B320" i="9" s="1"/>
  <c r="I322" i="9"/>
  <c r="D321" i="9"/>
  <c r="F322" i="9" l="1"/>
  <c r="C321" i="9"/>
  <c r="B321" i="9" s="1"/>
  <c r="I323" i="9"/>
  <c r="D322" i="9"/>
  <c r="F323" i="9" l="1"/>
  <c r="C322" i="9"/>
  <c r="B322" i="9" s="1"/>
  <c r="I324" i="9"/>
  <c r="D323" i="9"/>
  <c r="F324" i="9" l="1"/>
  <c r="C323" i="9"/>
  <c r="B323" i="9" s="1"/>
  <c r="I325" i="9"/>
  <c r="D324" i="9"/>
  <c r="F325" i="9" l="1"/>
  <c r="C324" i="9"/>
  <c r="B324" i="9" s="1"/>
  <c r="I326" i="9"/>
  <c r="D325" i="9"/>
  <c r="F326" i="9" l="1"/>
  <c r="C325" i="9"/>
  <c r="B325" i="9" s="1"/>
  <c r="I327" i="9"/>
  <c r="D326" i="9"/>
  <c r="F327" i="9" l="1"/>
  <c r="C326" i="9"/>
  <c r="B326" i="9" s="1"/>
  <c r="I328" i="9"/>
  <c r="D327" i="9"/>
  <c r="F328" i="9" l="1"/>
  <c r="C327" i="9"/>
  <c r="B327" i="9"/>
  <c r="I329" i="9"/>
  <c r="D328" i="9"/>
  <c r="F329" i="9" l="1"/>
  <c r="C328" i="9"/>
  <c r="B328" i="9" s="1"/>
  <c r="I330" i="9"/>
  <c r="D329" i="9"/>
  <c r="F330" i="9" l="1"/>
  <c r="C329" i="9"/>
  <c r="B329" i="9"/>
  <c r="I331" i="9"/>
  <c r="D330" i="9"/>
  <c r="F331" i="9" l="1"/>
  <c r="C330" i="9"/>
  <c r="B330" i="9" s="1"/>
  <c r="I332" i="9"/>
  <c r="D331" i="9"/>
  <c r="F332" i="9" l="1"/>
  <c r="C331" i="9"/>
  <c r="B331" i="9" s="1"/>
  <c r="I333" i="9"/>
  <c r="D332" i="9"/>
  <c r="F333" i="9" l="1"/>
  <c r="C332" i="9"/>
  <c r="B332" i="9" s="1"/>
  <c r="I334" i="9"/>
  <c r="D333" i="9"/>
  <c r="F334" i="9" l="1"/>
  <c r="C333" i="9"/>
  <c r="B333" i="9" s="1"/>
  <c r="I335" i="9"/>
  <c r="D334" i="9"/>
  <c r="F335" i="9" l="1"/>
  <c r="C334" i="9"/>
  <c r="B334" i="9" s="1"/>
  <c r="I336" i="9"/>
  <c r="D335" i="9"/>
  <c r="F336" i="9" l="1"/>
  <c r="C335" i="9"/>
  <c r="B335" i="9"/>
  <c r="I337" i="9"/>
  <c r="D336" i="9"/>
  <c r="F337" i="9" l="1"/>
  <c r="C336" i="9"/>
  <c r="B336" i="9" s="1"/>
  <c r="I338" i="9"/>
  <c r="D337" i="9"/>
  <c r="F338" i="9" l="1"/>
  <c r="C337" i="9"/>
  <c r="B337" i="9"/>
  <c r="I339" i="9"/>
  <c r="D338" i="9"/>
  <c r="F339" i="9" l="1"/>
  <c r="C338" i="9"/>
  <c r="B338" i="9" s="1"/>
  <c r="I340" i="9"/>
  <c r="D339" i="9"/>
  <c r="F340" i="9" l="1"/>
  <c r="C339" i="9"/>
  <c r="B339" i="9"/>
  <c r="I341" i="9"/>
  <c r="D340" i="9"/>
  <c r="F341" i="9" l="1"/>
  <c r="C340" i="9"/>
  <c r="B340" i="9" s="1"/>
  <c r="I342" i="9"/>
  <c r="D341" i="9"/>
  <c r="F342" i="9" l="1"/>
  <c r="C341" i="9"/>
  <c r="B341" i="9" s="1"/>
  <c r="I343" i="9"/>
  <c r="D342" i="9"/>
  <c r="F343" i="9" l="1"/>
  <c r="C342" i="9"/>
  <c r="B342" i="9" s="1"/>
  <c r="I344" i="9"/>
  <c r="D343" i="9"/>
  <c r="F344" i="9" l="1"/>
  <c r="C343" i="9"/>
  <c r="B343" i="9" s="1"/>
  <c r="I345" i="9"/>
  <c r="D344" i="9"/>
  <c r="F345" i="9" l="1"/>
  <c r="C344" i="9"/>
  <c r="B344" i="9" s="1"/>
  <c r="I346" i="9"/>
  <c r="D345" i="9"/>
  <c r="F346" i="9" l="1"/>
  <c r="C345" i="9"/>
  <c r="B345" i="9"/>
  <c r="I347" i="9"/>
  <c r="D346" i="9"/>
  <c r="F347" i="9" l="1"/>
  <c r="C346" i="9"/>
  <c r="B346" i="9" s="1"/>
  <c r="I348" i="9"/>
  <c r="D347" i="9"/>
  <c r="F348" i="9" l="1"/>
  <c r="C347" i="9"/>
  <c r="B347" i="9" s="1"/>
  <c r="I349" i="9"/>
  <c r="D348" i="9"/>
  <c r="F349" i="9" l="1"/>
  <c r="C348" i="9"/>
  <c r="B348" i="9" s="1"/>
  <c r="I350" i="9"/>
  <c r="D349" i="9"/>
  <c r="F350" i="9" l="1"/>
  <c r="C349" i="9"/>
  <c r="B349" i="9"/>
  <c r="I351" i="9"/>
  <c r="D350" i="9"/>
  <c r="F351" i="9" l="1"/>
  <c r="C350" i="9"/>
  <c r="B350" i="9" s="1"/>
  <c r="I352" i="9"/>
  <c r="D351" i="9"/>
  <c r="F352" i="9" l="1"/>
  <c r="C351" i="9"/>
  <c r="B351" i="9"/>
  <c r="I353" i="9"/>
  <c r="D352" i="9"/>
  <c r="F353" i="9" l="1"/>
  <c r="C352" i="9"/>
  <c r="B352" i="9" s="1"/>
  <c r="I354" i="9"/>
  <c r="D353" i="9"/>
  <c r="F354" i="9" l="1"/>
  <c r="C353" i="9"/>
  <c r="B353" i="9"/>
  <c r="I355" i="9"/>
  <c r="D354" i="9"/>
  <c r="F355" i="9" l="1"/>
  <c r="C354" i="9"/>
  <c r="B354" i="9" s="1"/>
  <c r="I356" i="9"/>
  <c r="D355" i="9"/>
  <c r="F356" i="9" l="1"/>
  <c r="C355" i="9"/>
  <c r="B355" i="9"/>
  <c r="I357" i="9"/>
  <c r="D356" i="9"/>
  <c r="F357" i="9" l="1"/>
  <c r="C356" i="9"/>
  <c r="B356" i="9" s="1"/>
  <c r="I358" i="9"/>
  <c r="D357" i="9"/>
  <c r="F358" i="9" l="1"/>
  <c r="C357" i="9"/>
  <c r="B357" i="9" s="1"/>
  <c r="I359" i="9"/>
  <c r="D358" i="9"/>
  <c r="F359" i="9" l="1"/>
  <c r="C358" i="9"/>
  <c r="B358" i="9" s="1"/>
  <c r="I360" i="9"/>
  <c r="D359" i="9"/>
  <c r="F360" i="9" l="1"/>
  <c r="C359" i="9"/>
  <c r="B359" i="9" s="1"/>
  <c r="I361" i="9"/>
  <c r="D360" i="9"/>
  <c r="F361" i="9" l="1"/>
  <c r="C360" i="9"/>
  <c r="B360" i="9" s="1"/>
  <c r="I362" i="9"/>
  <c r="D361" i="9"/>
  <c r="F362" i="9" l="1"/>
  <c r="C361" i="9"/>
  <c r="B361" i="9" s="1"/>
  <c r="I363" i="9"/>
  <c r="D362" i="9"/>
  <c r="F363" i="9" l="1"/>
  <c r="C362" i="9"/>
  <c r="B362" i="9" s="1"/>
  <c r="I364" i="9"/>
  <c r="D363" i="9"/>
  <c r="F364" i="9" l="1"/>
  <c r="C363" i="9"/>
  <c r="B363" i="9" s="1"/>
  <c r="I365" i="9"/>
  <c r="D364" i="9"/>
  <c r="F365" i="9" l="1"/>
  <c r="C364" i="9"/>
  <c r="B364" i="9" s="1"/>
  <c r="I366" i="9"/>
  <c r="D366" i="9" s="1"/>
  <c r="D365" i="9"/>
  <c r="F366" i="9" l="1"/>
  <c r="C366" i="9" s="1"/>
  <c r="C365" i="9"/>
  <c r="B365" i="9"/>
  <c r="B366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<sst xmlns="http://schemas.openxmlformats.org/spreadsheetml/2006/main" count="434" uniqueCount="243">
  <si>
    <t>Арстотцка</t>
  </si>
  <si>
    <t>Колечия</t>
  </si>
  <si>
    <t>Орбистан</t>
  </si>
  <si>
    <t>Скоатия</t>
  </si>
  <si>
    <t>Импор</t>
  </si>
  <si>
    <t>Антегрия</t>
  </si>
  <si>
    <t>Республия</t>
  </si>
  <si>
    <t>Объединенная Федерация</t>
  </si>
  <si>
    <t>Семистан</t>
  </si>
  <si>
    <t>Страна</t>
  </si>
  <si>
    <t>Флот</t>
  </si>
  <si>
    <t>Авиация</t>
  </si>
  <si>
    <t>Фабрики</t>
  </si>
  <si>
    <t>Заводы</t>
  </si>
  <si>
    <t>Верфи</t>
  </si>
  <si>
    <t>-</t>
  </si>
  <si>
    <t>Тэг</t>
  </si>
  <si>
    <t>ANT</t>
  </si>
  <si>
    <t>ARS</t>
  </si>
  <si>
    <t>IMP</t>
  </si>
  <si>
    <t>KOL</t>
  </si>
  <si>
    <t>UNF</t>
  </si>
  <si>
    <t>OBR</t>
  </si>
  <si>
    <t>REP</t>
  </si>
  <si>
    <t>SEM</t>
  </si>
  <si>
    <t>SKO</t>
  </si>
  <si>
    <t>Сталь</t>
  </si>
  <si>
    <t>Хром</t>
  </si>
  <si>
    <t>Вольфрам</t>
  </si>
  <si>
    <t>Нефть</t>
  </si>
  <si>
    <t>Алюминий</t>
  </si>
  <si>
    <t>Резина</t>
  </si>
  <si>
    <t>ИТОГО ФАБРИКИ</t>
  </si>
  <si>
    <t>Пеха</t>
  </si>
  <si>
    <t>Арта</t>
  </si>
  <si>
    <t>ВСЕГО</t>
  </si>
  <si>
    <t>ПОЛИТИКА</t>
  </si>
  <si>
    <t>АРМИЯ</t>
  </si>
  <si>
    <t>Правительство</t>
  </si>
  <si>
    <t>ОСТАТОК</t>
  </si>
  <si>
    <t>ЗДАНИЯ</t>
  </si>
  <si>
    <t>Население</t>
  </si>
  <si>
    <t>Продукты</t>
  </si>
  <si>
    <t>Производство, тонн в год</t>
  </si>
  <si>
    <t>Необходимо в год, тонн</t>
  </si>
  <si>
    <t>Агрокомплекс</t>
  </si>
  <si>
    <t>Производство, тонн в месяц</t>
  </si>
  <si>
    <t>Необходимо в месяц, тонн</t>
  </si>
  <si>
    <t>ТЕКУЩЕЕ КОЛИЧЕСТВО</t>
  </si>
  <si>
    <t>МЕСЯЦ</t>
  </si>
  <si>
    <t>ПОКАЗАТЕЛЬ</t>
  </si>
  <si>
    <t>НЕУРОЖАЙ</t>
  </si>
  <si>
    <t>РЕКОРД</t>
  </si>
  <si>
    <t>НЕУРОЖАЙ ИЛИ РЕКОРД</t>
  </si>
  <si>
    <t>ЧЬЯ ПРОВЕРКА</t>
  </si>
  <si>
    <t>Элеватор</t>
  </si>
  <si>
    <t>На сколько хватит</t>
  </si>
  <si>
    <t>Элеваторы</t>
  </si>
  <si>
    <t>Базовый % сохранения провианта</t>
  </si>
  <si>
    <t>Стартовые запасы</t>
  </si>
  <si>
    <t>ГЭС</t>
  </si>
  <si>
    <t>АЭС</t>
  </si>
  <si>
    <t>Потребители энергии</t>
  </si>
  <si>
    <t>Производители энергии</t>
  </si>
  <si>
    <t>Фабрика</t>
  </si>
  <si>
    <t>Завод</t>
  </si>
  <si>
    <t>Верфь</t>
  </si>
  <si>
    <t>ТЭС</t>
  </si>
  <si>
    <t>МВт</t>
  </si>
  <si>
    <t>Инфра</t>
  </si>
  <si>
    <t>Узлы</t>
  </si>
  <si>
    <t>Аэродром</t>
  </si>
  <si>
    <t>Морбаза</t>
  </si>
  <si>
    <t>ПВО</t>
  </si>
  <si>
    <t>НПЗ</t>
  </si>
  <si>
    <t>Хранилище</t>
  </si>
  <si>
    <t>Радар</t>
  </si>
  <si>
    <t>Ракеты</t>
  </si>
  <si>
    <t>Ядерный реактор</t>
  </si>
  <si>
    <t>Бункер/Мор</t>
  </si>
  <si>
    <t>Баланс, МВт в месяц</t>
  </si>
  <si>
    <t>Производство, МВт в месяц</t>
  </si>
  <si>
    <t>Необходимо в месяц, МВт</t>
  </si>
  <si>
    <t>скорость стройки</t>
  </si>
  <si>
    <t>скорость исследований</t>
  </si>
  <si>
    <t>кодирование/дешифрование</t>
  </si>
  <si>
    <t>fuel_gain_factor</t>
  </si>
  <si>
    <t>Животноводческий комплекс</t>
  </si>
  <si>
    <t>Энергия</t>
  </si>
  <si>
    <t>Баланс энергии</t>
  </si>
  <si>
    <t>Баланс продуктов</t>
  </si>
  <si>
    <t>Обеспеченность, %</t>
  </si>
  <si>
    <t>производительность завода/верфи</t>
  </si>
  <si>
    <t>еженедельный прирост провизии</t>
  </si>
  <si>
    <t>Неделя</t>
  </si>
  <si>
    <t>Год</t>
  </si>
  <si>
    <t>Месяц</t>
  </si>
  <si>
    <t>Дебаф от электроэнергии</t>
  </si>
  <si>
    <t>Старое</t>
  </si>
  <si>
    <t>Новое</t>
  </si>
  <si>
    <t>Железо</t>
  </si>
  <si>
    <t>Число итераций</t>
  </si>
  <si>
    <t>скорость плана</t>
  </si>
  <si>
    <t>координация</t>
  </si>
  <si>
    <t>база</t>
  </si>
  <si>
    <t>mobilization_speed</t>
  </si>
  <si>
    <t>local_resources_factor</t>
  </si>
  <si>
    <t>Армия</t>
  </si>
  <si>
    <t>Провизия</t>
  </si>
  <si>
    <t>Исследования</t>
  </si>
  <si>
    <t>Строительство</t>
  </si>
  <si>
    <t>Переработка нефти</t>
  </si>
  <si>
    <t>Добыча ресурсов</t>
  </si>
  <si>
    <t>Приоритет</t>
  </si>
  <si>
    <t>МЕНЯТЬ ЦИФРЫ МОЖНО ТОЛЬКО НА СИНЕМ (ЭТОМ) ФОНЕ!</t>
  </si>
  <si>
    <t>УРОВЕНЬ ВЗАИМОДЕЙСТВИЯ С ПРЕДПРИЯТИЯМИ</t>
  </si>
  <si>
    <t>ЗАИНТЕРЕСОВАННОСТЬ В ЭКОНОМИЧЕСКОМ РАЗВИТИИ</t>
  </si>
  <si>
    <t>ЗАКОН О ТРУДЕ</t>
  </si>
  <si>
    <t>ТЕКУЩИЙ МЕНПАВЕР</t>
  </si>
  <si>
    <t>%</t>
  </si>
  <si>
    <t>ИТОГО ЧЕЛОВЕК</t>
  </si>
  <si>
    <t>Число фабрик</t>
  </si>
  <si>
    <t>ПРОМЫШЛЕННЫЙ ПРОЛЕТАРИАТ</t>
  </si>
  <si>
    <t>&lt;-- Основная формула для первичного теста</t>
  </si>
  <si>
    <t>&lt;-- Более сложная формула, чуть больше учитывающая влияние % армейского менпавера</t>
  </si>
  <si>
    <t>Пром менпавера в сумме тут выходит больше, но влияние менпавера ощущается сильнее (больше работяг, при отсутствии армии и меньше, при больших % менпавера)</t>
  </si>
  <si>
    <t>По тестам можно юзать ее, но с некоторым понижающим коэффициентом</t>
  </si>
  <si>
    <t>НАСЕЛЕНИЕ СТРАНЫ</t>
  </si>
  <si>
    <t>ОБЩЕЕ</t>
  </si>
  <si>
    <t>МЕНПАВЕР</t>
  </si>
  <si>
    <t>ПРОМЫШЛЕННЫЙ</t>
  </si>
  <si>
    <t>СВОБОДНЫЙ</t>
  </si>
  <si>
    <t>ПРОМЫШЛЕННОСТЬ</t>
  </si>
  <si>
    <t>ПОТРЕБНОСТЬ В ПРОМ МЕНПАВЕРЕ</t>
  </si>
  <si>
    <t>на единицу</t>
  </si>
  <si>
    <t>суммарно</t>
  </si>
  <si>
    <t>ИТОГО</t>
  </si>
  <si>
    <t>% ОБЕСПЕЧЕННОСТИ</t>
  </si>
  <si>
    <t>ФАБРИКИ</t>
  </si>
  <si>
    <t>ВОЕННЫЕ ЗАВОДЫ</t>
  </si>
  <si>
    <t>ВЕРФИ</t>
  </si>
  <si>
    <t>Если этот параметр ниже 100%, то тебе летят дебафы на промку</t>
  </si>
  <si>
    <t>ТНП</t>
  </si>
  <si>
    <t>&lt;-- Это здесь для красоты</t>
  </si>
  <si>
    <t>Фабрик после вычета ТНП</t>
  </si>
  <si>
    <t>БЕЗРАБОТИЦА</t>
  </si>
  <si>
    <t>СТАБА</t>
  </si>
  <si>
    <t>ЧИСЛО СОСЕДЕЙ - ЦЕЛЕЙ МИГРАЦИИ</t>
  </si>
  <si>
    <t>Сооружения</t>
  </si>
  <si>
    <t>Люди</t>
  </si>
  <si>
    <t>Сталеплавильня</t>
  </si>
  <si>
    <t>Баланс работников</t>
  </si>
  <si>
    <t>Тик в день</t>
  </si>
  <si>
    <t>Текущий %</t>
  </si>
  <si>
    <t>Скорость мобилизац %</t>
  </si>
  <si>
    <t>Прирост пролетариата, дн</t>
  </si>
  <si>
    <t>Прошлый %</t>
  </si>
  <si>
    <t>НАСЕЛЕНИЕ</t>
  </si>
  <si>
    <t>ЮЗАЕМ</t>
  </si>
  <si>
    <t>ЦЕЛЕВОЕ</t>
  </si>
  <si>
    <t>ТЕКУЩЕЕ</t>
  </si>
  <si>
    <t>Необходимо в месяц</t>
  </si>
  <si>
    <t>Соц инфра</t>
  </si>
  <si>
    <t>Истребы</t>
  </si>
  <si>
    <t>Штурмы</t>
  </si>
  <si>
    <t>Бомберы</t>
  </si>
  <si>
    <t>Линкор</t>
  </si>
  <si>
    <t>Тяж крейсер</t>
  </si>
  <si>
    <t>Эсминец</t>
  </si>
  <si>
    <t>Подлодки</t>
  </si>
  <si>
    <t>Лег крейсер</t>
  </si>
  <si>
    <t>Очки науки, факт</t>
  </si>
  <si>
    <t>Прирост ОН</t>
  </si>
  <si>
    <t>Расход ОН</t>
  </si>
  <si>
    <t>День</t>
  </si>
  <si>
    <t>Генераторы ОН</t>
  </si>
  <si>
    <t>Советники</t>
  </si>
  <si>
    <t>НИИ</t>
  </si>
  <si>
    <t>Потребители ОН</t>
  </si>
  <si>
    <t>Ячейки</t>
  </si>
  <si>
    <t>Восточный Стальной Альянс</t>
  </si>
  <si>
    <t>Морская Лига Юга</t>
  </si>
  <si>
    <t>Западно-Грештинская Федерация</t>
  </si>
  <si>
    <t>Восточные Наблюдаемые Земли</t>
  </si>
  <si>
    <t>EOL</t>
  </si>
  <si>
    <t>WGF</t>
  </si>
  <si>
    <t>MLS</t>
  </si>
  <si>
    <t>ESA</t>
  </si>
  <si>
    <t>Арканис (классика)</t>
  </si>
  <si>
    <t>Арканис (расширенный)</t>
  </si>
  <si>
    <t>Ревия</t>
  </si>
  <si>
    <t>REV</t>
  </si>
  <si>
    <t>VIR</t>
  </si>
  <si>
    <t>Виренстан</t>
  </si>
  <si>
    <t>DAR</t>
  </si>
  <si>
    <t>Дарстен</t>
  </si>
  <si>
    <t>Рудения</t>
  </si>
  <si>
    <t>RUD</t>
  </si>
  <si>
    <t>Вальгард</t>
  </si>
  <si>
    <t>VAL</t>
  </si>
  <si>
    <t>Фалькорн</t>
  </si>
  <si>
    <t>FAL</t>
  </si>
  <si>
    <t>Келдрин</t>
  </si>
  <si>
    <t>Нордрия</t>
  </si>
  <si>
    <t>KEL</t>
  </si>
  <si>
    <t>NRD</t>
  </si>
  <si>
    <t>Талассгард</t>
  </si>
  <si>
    <t>Эдерния</t>
  </si>
  <si>
    <t>Халмир</t>
  </si>
  <si>
    <t>Хелтран</t>
  </si>
  <si>
    <t>Номария</t>
  </si>
  <si>
    <t>Маскарелль</t>
  </si>
  <si>
    <t>Бравор</t>
  </si>
  <si>
    <t>Сурландия</t>
  </si>
  <si>
    <t>Калотск</t>
  </si>
  <si>
    <t>Арклавия</t>
  </si>
  <si>
    <t>Сальдия</t>
  </si>
  <si>
    <t>Рексиланд</t>
  </si>
  <si>
    <t>Нуверн</t>
  </si>
  <si>
    <t>Гронтия</t>
  </si>
  <si>
    <t>Маракайя</t>
  </si>
  <si>
    <t>Тотайрия</t>
  </si>
  <si>
    <t>TOT</t>
  </si>
  <si>
    <t>MRK</t>
  </si>
  <si>
    <t>GRT</t>
  </si>
  <si>
    <t>NUV</t>
  </si>
  <si>
    <t>REX</t>
  </si>
  <si>
    <t>SAL</t>
  </si>
  <si>
    <t>ARK</t>
  </si>
  <si>
    <t>KLT</t>
  </si>
  <si>
    <t>BRV</t>
  </si>
  <si>
    <t>MAS</t>
  </si>
  <si>
    <t>NOM</t>
  </si>
  <si>
    <t>HEL</t>
  </si>
  <si>
    <t>HAL</t>
  </si>
  <si>
    <t>EDE</t>
  </si>
  <si>
    <t>Моторка/Кава</t>
  </si>
  <si>
    <t>Мор бомберы</t>
  </si>
  <si>
    <t>Транспорт</t>
  </si>
  <si>
    <t>ТТЭС</t>
  </si>
  <si>
    <t>УТЭС</t>
  </si>
  <si>
    <t>Уголь</t>
  </si>
  <si>
    <t>РЕСУРСЫ (без учета вклада инфры)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</si>
</sst>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  <numFmt numFmtId="167" formatCode="0.000"/>
    <numFmt numFmtId="168" formatCode="_-* #,##0\ _₽_-;\-* #,##0\ _₽_-;_-* &quot;-&quot;???\ _₽_-;_-@_-"/>
    <numFmt numFmtId="169" formatCode="_-* #,##0.000_-;\-* #,##0.000_-;_-* &quot;-&quot;??_-;_-@_-"/>
    <numFmt numFmtId="170" formatCode="_-* #,##0.0000_-;\-* #,##0.0000_-;_-* &quot;-&quot;??_-;_-@_-"/>
    <numFmt numFmtId="171" formatCode="0_ ;\-0\ "/>
    <numFmt numFmtId="172" formatCode="_-* #,##0.0000\ _₽_-;\-* #,##0.0000\ _₽_-;_-* &quot;-&quot;????\ _₽_-;_-@_-"/>
    <numFmt numFmtId="173" formatCode="#,##0_ ;\-#,##0\ "/>
    <numFmt numFmtId="174" formatCode="#,##0.0"/>
    <numFmt numFmtId="175" formatCode="#,##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scheme val="minor"/>
    </font>
    <font>
      <b/>
      <sz val="11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9"/>
      <color rgb="FF000000"/>
      <name val="Calibri"/>
      <family val="2"/>
      <charset val="204"/>
    </font>
    <font>
      <b/>
      <sz val="11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4B084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77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9" fontId="0" fillId="3" borderId="24" xfId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20" xfId="1" applyFont="1" applyFill="1" applyBorder="1" applyAlignment="1">
      <alignment horizontal="center" vertical="center"/>
    </xf>
    <xf numFmtId="9" fontId="0" fillId="0" borderId="4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0" fillId="2" borderId="21" xfId="1" applyFont="1" applyFill="1" applyBorder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/>
    <xf numFmtId="164" fontId="0" fillId="2" borderId="25" xfId="2" applyNumberFormat="1" applyFont="1" applyFill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25" xfId="2" applyNumberFormat="1" applyFont="1" applyFill="1" applyBorder="1" applyAlignment="1">
      <alignment horizontal="center" vertical="center"/>
    </xf>
    <xf numFmtId="164" fontId="0" fillId="2" borderId="26" xfId="2" applyNumberFormat="1" applyFont="1" applyFill="1" applyBorder="1" applyAlignment="1">
      <alignment horizontal="center" vertical="center"/>
    </xf>
    <xf numFmtId="164" fontId="0" fillId="0" borderId="0" xfId="2" applyNumberFormat="1" applyFont="1"/>
    <xf numFmtId="49" fontId="0" fillId="0" borderId="0" xfId="2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0" fillId="2" borderId="31" xfId="2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0" fontId="1" fillId="0" borderId="17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0" fillId="0" borderId="25" xfId="0" applyBorder="1" applyAlignment="1">
      <alignment horizontal="left" vertical="center" wrapText="1"/>
    </xf>
    <xf numFmtId="0" fontId="0" fillId="2" borderId="25" xfId="0" applyFill="1" applyBorder="1" applyAlignment="1">
      <alignment horizontal="left" vertical="center" wrapText="1"/>
    </xf>
    <xf numFmtId="0" fontId="0" fillId="2" borderId="26" xfId="0" applyFill="1" applyBorder="1" applyAlignment="1">
      <alignment horizontal="left" vertical="center" wrapText="1"/>
    </xf>
    <xf numFmtId="0" fontId="0" fillId="2" borderId="31" xfId="0" applyFill="1" applyBorder="1" applyAlignment="1">
      <alignment horizontal="left" vertical="center" wrapText="1"/>
    </xf>
    <xf numFmtId="0" fontId="0" fillId="2" borderId="31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/>
    </xf>
    <xf numFmtId="164" fontId="0" fillId="0" borderId="33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164" fontId="0" fillId="4" borderId="1" xfId="2" applyNumberFormat="1" applyFont="1" applyFill="1" applyBorder="1" applyAlignment="1">
      <alignment horizontal="center" vertical="center"/>
    </xf>
    <xf numFmtId="164" fontId="0" fillId="2" borderId="1" xfId="2" applyNumberFormat="1" applyFont="1" applyFill="1" applyBorder="1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0" borderId="5" xfId="2" applyNumberFormat="1" applyFont="1" applyFill="1" applyBorder="1" applyAlignment="1">
      <alignment horizontal="center" vertical="center"/>
    </xf>
    <xf numFmtId="164" fontId="0" fillId="2" borderId="6" xfId="2" applyNumberFormat="1" applyFont="1" applyFill="1" applyBorder="1" applyAlignment="1">
      <alignment horizontal="center" vertical="center"/>
    </xf>
    <xf numFmtId="164" fontId="0" fillId="2" borderId="5" xfId="2" applyNumberFormat="1" applyFont="1" applyFill="1" applyBorder="1" applyAlignment="1">
      <alignment horizontal="center" vertical="center"/>
    </xf>
    <xf numFmtId="164" fontId="0" fillId="2" borderId="7" xfId="2" applyNumberFormat="1" applyFont="1" applyFill="1" applyBorder="1" applyAlignment="1">
      <alignment horizontal="center" vertical="center"/>
    </xf>
    <xf numFmtId="164" fontId="0" fillId="2" borderId="9" xfId="2" applyNumberFormat="1" applyFont="1" applyFill="1" applyBorder="1" applyAlignment="1">
      <alignment horizontal="center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2" borderId="8" xfId="2" applyNumberFormat="1" applyFont="1" applyFill="1" applyBorder="1" applyAlignment="1">
      <alignment horizontal="center" vertical="center"/>
    </xf>
    <xf numFmtId="0" fontId="0" fillId="2" borderId="32" xfId="0" applyFill="1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2" borderId="33" xfId="0" applyFill="1" applyBorder="1" applyAlignment="1">
      <alignment horizontal="left" vertical="center" wrapText="1"/>
    </xf>
    <xf numFmtId="0" fontId="0" fillId="2" borderId="34" xfId="0" applyFill="1" applyBorder="1" applyAlignment="1">
      <alignment horizontal="left" vertical="center" wrapText="1"/>
    </xf>
    <xf numFmtId="0" fontId="0" fillId="2" borderId="35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164" fontId="0" fillId="2" borderId="38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164" fontId="0" fillId="2" borderId="4" xfId="2" applyNumberFormat="1" applyFont="1" applyFill="1" applyBorder="1" applyAlignment="1">
      <alignment horizontal="center" vertical="center"/>
    </xf>
    <xf numFmtId="164" fontId="0" fillId="2" borderId="21" xfId="2" applyNumberFormat="1" applyFont="1" applyFill="1" applyBorder="1" applyAlignment="1">
      <alignment horizontal="center" vertical="center"/>
    </xf>
    <xf numFmtId="166" fontId="0" fillId="0" borderId="0" xfId="1" applyNumberFormat="1" applyFont="1"/>
    <xf numFmtId="0" fontId="1" fillId="0" borderId="13" xfId="0" applyFont="1" applyBorder="1" applyAlignment="1">
      <alignment horizontal="center" vertical="center" wrapText="1"/>
    </xf>
    <xf numFmtId="164" fontId="0" fillId="0" borderId="0" xfId="2" applyNumberFormat="1" applyFont="1" applyFill="1" applyBorder="1" applyAlignment="1">
      <alignment horizontal="center" vertical="center"/>
    </xf>
    <xf numFmtId="164" fontId="0" fillId="2" borderId="40" xfId="2" applyNumberFormat="1" applyFont="1" applyFill="1" applyBorder="1" applyAlignment="1">
      <alignment horizontal="center" vertical="center"/>
    </xf>
    <xf numFmtId="164" fontId="0" fillId="0" borderId="41" xfId="2" applyNumberFormat="1" applyFont="1" applyFill="1" applyBorder="1" applyAlignment="1">
      <alignment horizontal="center" vertical="center"/>
    </xf>
    <xf numFmtId="164" fontId="0" fillId="2" borderId="41" xfId="2" applyNumberFormat="1" applyFont="1" applyFill="1" applyBorder="1" applyAlignment="1">
      <alignment horizontal="center" vertical="center"/>
    </xf>
    <xf numFmtId="164" fontId="0" fillId="2" borderId="42" xfId="2" applyNumberFormat="1" applyFont="1" applyFill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3" borderId="0" xfId="0" applyNumberFormat="1" applyFill="1" applyAlignment="1">
      <alignment horizontal="right" vertical="center"/>
    </xf>
    <xf numFmtId="0" fontId="4" fillId="0" borderId="3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/>
    </xf>
    <xf numFmtId="164" fontId="0" fillId="2" borderId="35" xfId="2" applyNumberFormat="1" applyFont="1" applyFill="1" applyBorder="1" applyAlignment="1">
      <alignment horizontal="center" vertical="center"/>
    </xf>
    <xf numFmtId="164" fontId="0" fillId="2" borderId="37" xfId="2" applyNumberFormat="1" applyFont="1" applyFill="1" applyBorder="1" applyAlignment="1">
      <alignment horizontal="center" vertical="center"/>
    </xf>
    <xf numFmtId="164" fontId="0" fillId="2" borderId="12" xfId="2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164" fontId="0" fillId="2" borderId="36" xfId="2" applyNumberFormat="1" applyFont="1" applyFill="1" applyBorder="1" applyAlignment="1">
      <alignment horizontal="center" vertical="center"/>
    </xf>
    <xf numFmtId="164" fontId="0" fillId="0" borderId="12" xfId="2" applyNumberFormat="1" applyFont="1" applyFill="1" applyBorder="1" applyAlignment="1">
      <alignment horizontal="center" vertical="center"/>
    </xf>
    <xf numFmtId="166" fontId="0" fillId="4" borderId="1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" borderId="37" xfId="1" applyNumberFormat="1" applyFont="1" applyFill="1" applyBorder="1" applyAlignment="1">
      <alignment horizontal="center" vertical="center"/>
    </xf>
    <xf numFmtId="166" fontId="0" fillId="0" borderId="6" xfId="1" applyNumberFormat="1" applyFont="1" applyFill="1" applyBorder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0" fontId="1" fillId="3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64" fontId="0" fillId="0" borderId="45" xfId="2" applyNumberFormat="1" applyFont="1" applyBorder="1" applyAlignment="1">
      <alignment horizontal="center" vertical="center"/>
    </xf>
    <xf numFmtId="0" fontId="0" fillId="3" borderId="1" xfId="0" applyFill="1" applyBorder="1"/>
    <xf numFmtId="49" fontId="0" fillId="3" borderId="1" xfId="2" applyNumberFormat="1" applyFont="1" applyFill="1" applyBorder="1" applyAlignment="1">
      <alignment horizontal="center" vertical="center"/>
    </xf>
    <xf numFmtId="169" fontId="0" fillId="3" borderId="1" xfId="2" applyNumberFormat="1" applyFont="1" applyFill="1" applyBorder="1" applyAlignment="1">
      <alignment horizontal="center" vertical="center"/>
    </xf>
    <xf numFmtId="0" fontId="0" fillId="3" borderId="0" xfId="0" applyFill="1"/>
    <xf numFmtId="169" fontId="0" fillId="0" borderId="0" xfId="0" applyNumberFormat="1"/>
    <xf numFmtId="170" fontId="0" fillId="3" borderId="1" xfId="0" applyNumberFormat="1" applyFill="1" applyBorder="1"/>
    <xf numFmtId="170" fontId="0" fillId="3" borderId="0" xfId="0" applyNumberFormat="1" applyFill="1"/>
    <xf numFmtId="171" fontId="0" fillId="0" borderId="0" xfId="2" applyNumberFormat="1" applyFont="1" applyAlignment="1">
      <alignment horizontal="center" vertical="center"/>
    </xf>
    <xf numFmtId="170" fontId="0" fillId="0" borderId="0" xfId="0" applyNumberFormat="1"/>
    <xf numFmtId="164" fontId="0" fillId="3" borderId="0" xfId="2" applyNumberFormat="1" applyFont="1" applyFill="1"/>
    <xf numFmtId="172" fontId="0" fillId="0" borderId="0" xfId="0" applyNumberFormat="1"/>
    <xf numFmtId="171" fontId="6" fillId="0" borderId="0" xfId="2" applyNumberFormat="1" applyFont="1" applyAlignment="1">
      <alignment horizontal="center" vertical="center"/>
    </xf>
    <xf numFmtId="0" fontId="0" fillId="5" borderId="0" xfId="0" applyFill="1"/>
    <xf numFmtId="166" fontId="0" fillId="5" borderId="0" xfId="0" applyNumberFormat="1" applyFill="1" applyAlignment="1">
      <alignment horizontal="center" vertical="center"/>
    </xf>
    <xf numFmtId="0" fontId="0" fillId="6" borderId="0" xfId="0" applyFill="1"/>
    <xf numFmtId="166" fontId="0" fillId="6" borderId="0" xfId="0" applyNumberFormat="1" applyFill="1" applyAlignment="1">
      <alignment horizontal="center" vertical="center"/>
    </xf>
    <xf numFmtId="0" fontId="0" fillId="7" borderId="0" xfId="0" applyFill="1"/>
    <xf numFmtId="166" fontId="0" fillId="7" borderId="0" xfId="0" applyNumberFormat="1" applyFill="1" applyAlignment="1">
      <alignment horizontal="center" vertical="center"/>
    </xf>
    <xf numFmtId="0" fontId="0" fillId="8" borderId="0" xfId="0" applyFill="1"/>
    <xf numFmtId="166" fontId="0" fillId="8" borderId="0" xfId="0" applyNumberFormat="1" applyFill="1" applyAlignment="1">
      <alignment horizontal="center" vertical="center"/>
    </xf>
    <xf numFmtId="0" fontId="0" fillId="9" borderId="0" xfId="0" applyFill="1"/>
    <xf numFmtId="166" fontId="0" fillId="9" borderId="0" xfId="0" applyNumberFormat="1" applyFill="1" applyAlignment="1">
      <alignment horizontal="center" vertical="center"/>
    </xf>
    <xf numFmtId="166" fontId="0" fillId="0" borderId="0" xfId="1" applyNumberFormat="1" applyFont="1" applyFill="1"/>
    <xf numFmtId="0" fontId="1" fillId="0" borderId="0" xfId="0" applyFont="1"/>
    <xf numFmtId="166" fontId="1" fillId="0" borderId="0" xfId="1" applyNumberFormat="1" applyFont="1"/>
    <xf numFmtId="166" fontId="0" fillId="3" borderId="0" xfId="0" applyNumberFormat="1" applyFill="1" applyAlignment="1">
      <alignment horizontal="center" vertical="center"/>
    </xf>
    <xf numFmtId="166" fontId="0" fillId="0" borderId="0" xfId="0" applyNumberFormat="1"/>
    <xf numFmtId="9" fontId="0" fillId="0" borderId="0" xfId="1" applyFont="1"/>
    <xf numFmtId="9" fontId="0" fillId="0" borderId="0" xfId="0" applyNumberFormat="1"/>
    <xf numFmtId="0" fontId="1" fillId="0" borderId="18" xfId="0" applyFont="1" applyBorder="1" applyAlignment="1">
      <alignment horizontal="center" vertical="center" wrapText="1"/>
    </xf>
    <xf numFmtId="0" fontId="7" fillId="10" borderId="18" xfId="0" applyFont="1" applyFill="1" applyBorder="1" applyAlignment="1">
      <alignment horizontal="left" vertical="center"/>
    </xf>
    <xf numFmtId="0" fontId="8" fillId="10" borderId="28" xfId="0" applyFont="1" applyFill="1" applyBorder="1" applyAlignment="1">
      <alignment horizontal="left" vertical="center"/>
    </xf>
    <xf numFmtId="0" fontId="8" fillId="10" borderId="29" xfId="0" applyFont="1" applyFill="1" applyBorder="1" applyAlignment="1">
      <alignment horizontal="left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11" borderId="35" xfId="0" applyFont="1" applyFill="1" applyBorder="1" applyAlignment="1">
      <alignment horizontal="center" vertical="center" wrapText="1"/>
    </xf>
    <xf numFmtId="166" fontId="7" fillId="10" borderId="7" xfId="1" applyNumberFormat="1" applyFont="1" applyFill="1" applyBorder="1" applyAlignment="1">
      <alignment horizontal="center" vertical="center"/>
    </xf>
    <xf numFmtId="166" fontId="7" fillId="13" borderId="29" xfId="1" applyNumberFormat="1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 wrapText="1"/>
    </xf>
    <xf numFmtId="0" fontId="7" fillId="12" borderId="2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166" fontId="7" fillId="10" borderId="19" xfId="1" applyNumberFormat="1" applyFont="1" applyFill="1" applyBorder="1" applyAlignment="1">
      <alignment horizontal="center" vertical="center" wrapText="1"/>
    </xf>
    <xf numFmtId="173" fontId="7" fillId="12" borderId="19" xfId="2" applyNumberFormat="1" applyFont="1" applyFill="1" applyBorder="1" applyAlignment="1">
      <alignment horizontal="center" vertical="center" wrapText="1"/>
    </xf>
    <xf numFmtId="166" fontId="8" fillId="0" borderId="0" xfId="1" applyNumberFormat="1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 wrapText="1"/>
    </xf>
    <xf numFmtId="0" fontId="7" fillId="14" borderId="29" xfId="0" applyFont="1" applyFill="1" applyBorder="1" applyAlignment="1">
      <alignment horizontal="center" vertical="center" wrapText="1"/>
    </xf>
    <xf numFmtId="166" fontId="7" fillId="14" borderId="3" xfId="0" applyNumberFormat="1" applyFont="1" applyFill="1" applyBorder="1" applyAlignment="1">
      <alignment horizontal="center" vertical="center"/>
    </xf>
    <xf numFmtId="3" fontId="7" fillId="14" borderId="29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7" fillId="15" borderId="19" xfId="0" applyFont="1" applyFill="1" applyBorder="1" applyAlignment="1">
      <alignment horizontal="center" vertical="center"/>
    </xf>
    <xf numFmtId="3" fontId="7" fillId="10" borderId="19" xfId="0" applyNumberFormat="1" applyFont="1" applyFill="1" applyBorder="1" applyAlignment="1">
      <alignment horizontal="center" vertical="center"/>
    </xf>
    <xf numFmtId="166" fontId="7" fillId="15" borderId="19" xfId="1" applyNumberFormat="1" applyFont="1" applyFill="1" applyBorder="1" applyAlignment="1">
      <alignment horizontal="center" vertical="center" wrapText="1"/>
    </xf>
    <xf numFmtId="0" fontId="7" fillId="15" borderId="3" xfId="0" applyFont="1" applyFill="1" applyBorder="1" applyAlignment="1">
      <alignment horizontal="center" vertical="center"/>
    </xf>
    <xf numFmtId="3" fontId="7" fillId="15" borderId="19" xfId="0" applyNumberFormat="1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3" fontId="7" fillId="16" borderId="19" xfId="0" applyNumberFormat="1" applyFont="1" applyFill="1" applyBorder="1" applyAlignment="1">
      <alignment horizontal="center" vertical="center"/>
    </xf>
    <xf numFmtId="166" fontId="7" fillId="16" borderId="19" xfId="1" applyNumberFormat="1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 wrapText="1"/>
    </xf>
    <xf numFmtId="0" fontId="9" fillId="13" borderId="2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8" fillId="0" borderId="47" xfId="0" applyFont="1" applyBorder="1"/>
    <xf numFmtId="3" fontId="7" fillId="10" borderId="3" xfId="0" applyNumberFormat="1" applyFont="1" applyFill="1" applyBorder="1" applyAlignment="1">
      <alignment horizontal="center" vertical="center"/>
    </xf>
    <xf numFmtId="3" fontId="7" fillId="13" borderId="29" xfId="0" applyNumberFormat="1" applyFont="1" applyFill="1" applyBorder="1" applyAlignment="1">
      <alignment horizontal="center" vertical="center"/>
    </xf>
    <xf numFmtId="3" fontId="7" fillId="13" borderId="3" xfId="0" applyNumberFormat="1" applyFont="1" applyFill="1" applyBorder="1" applyAlignment="1">
      <alignment horizontal="center" vertical="center"/>
    </xf>
    <xf numFmtId="166" fontId="7" fillId="13" borderId="3" xfId="1" applyNumberFormat="1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8" fillId="0" borderId="48" xfId="0" applyFont="1" applyBorder="1"/>
    <xf numFmtId="0" fontId="5" fillId="0" borderId="0" xfId="0" applyFont="1" applyAlignment="1">
      <alignment horizontal="center" vertical="center" wrapText="1"/>
    </xf>
    <xf numFmtId="1" fontId="8" fillId="13" borderId="19" xfId="0" applyNumberFormat="1" applyFont="1" applyFill="1" applyBorder="1" applyAlignment="1">
      <alignment horizontal="center" vertical="center"/>
    </xf>
    <xf numFmtId="166" fontId="7" fillId="10" borderId="3" xfId="1" applyNumberFormat="1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center" vertical="center" wrapText="1"/>
    </xf>
    <xf numFmtId="1" fontId="8" fillId="13" borderId="3" xfId="0" applyNumberFormat="1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left" vertical="center" wrapText="1"/>
    </xf>
    <xf numFmtId="0" fontId="9" fillId="13" borderId="3" xfId="0" applyFont="1" applyFill="1" applyBorder="1" applyAlignment="1">
      <alignment horizontal="left" vertical="center"/>
    </xf>
    <xf numFmtId="166" fontId="7" fillId="10" borderId="3" xfId="1" applyNumberFormat="1" applyFont="1" applyFill="1" applyBorder="1" applyAlignment="1">
      <alignment horizontal="center" vertical="center"/>
    </xf>
    <xf numFmtId="1" fontId="7" fillId="13" borderId="19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top" wrapText="1"/>
    </xf>
    <xf numFmtId="164" fontId="0" fillId="2" borderId="49" xfId="2" applyNumberFormat="1" applyFont="1" applyFill="1" applyBorder="1" applyAlignment="1">
      <alignment horizontal="center" vertical="center"/>
    </xf>
    <xf numFmtId="164" fontId="0" fillId="0" borderId="50" xfId="2" applyNumberFormat="1" applyFont="1" applyFill="1" applyBorder="1" applyAlignment="1">
      <alignment horizontal="center" vertical="center"/>
    </xf>
    <xf numFmtId="164" fontId="0" fillId="2" borderId="50" xfId="2" applyNumberFormat="1" applyFont="1" applyFill="1" applyBorder="1" applyAlignment="1">
      <alignment horizontal="center" vertical="center"/>
    </xf>
    <xf numFmtId="164" fontId="0" fillId="2" borderId="16" xfId="2" applyNumberFormat="1" applyFont="1" applyFill="1" applyBorder="1" applyAlignment="1">
      <alignment horizontal="center" vertical="center"/>
    </xf>
    <xf numFmtId="164" fontId="0" fillId="0" borderId="11" xfId="2" applyNumberFormat="1" applyFont="1" applyFill="1" applyBorder="1" applyAlignment="1">
      <alignment horizontal="center" vertical="center"/>
    </xf>
    <xf numFmtId="164" fontId="0" fillId="2" borderId="11" xfId="2" applyNumberFormat="1" applyFont="1" applyFill="1" applyBorder="1" applyAlignment="1">
      <alignment horizontal="center" vertical="center"/>
    </xf>
    <xf numFmtId="164" fontId="0" fillId="2" borderId="51" xfId="2" applyNumberFormat="1" applyFont="1" applyFill="1" applyBorder="1" applyAlignment="1">
      <alignment horizontal="center" vertical="center"/>
    </xf>
    <xf numFmtId="164" fontId="0" fillId="2" borderId="20" xfId="2" applyNumberFormat="1" applyFont="1" applyFill="1" applyBorder="1" applyAlignment="1">
      <alignment horizontal="center" vertical="center"/>
    </xf>
    <xf numFmtId="164" fontId="0" fillId="0" borderId="20" xfId="2" applyNumberFormat="1" applyFont="1" applyFill="1" applyBorder="1" applyAlignment="1">
      <alignment horizontal="center" vertical="center"/>
    </xf>
    <xf numFmtId="164" fontId="0" fillId="2" borderId="52" xfId="2" applyNumberFormat="1" applyFont="1" applyFill="1" applyBorder="1" applyAlignment="1">
      <alignment horizontal="center" vertical="center"/>
    </xf>
    <xf numFmtId="166" fontId="0" fillId="2" borderId="25" xfId="1" applyNumberFormat="1" applyFont="1" applyFill="1" applyBorder="1" applyAlignment="1">
      <alignment horizontal="center" vertical="center"/>
    </xf>
    <xf numFmtId="166" fontId="0" fillId="2" borderId="26" xfId="1" applyNumberFormat="1" applyFont="1" applyFill="1" applyBorder="1" applyAlignment="1">
      <alignment horizontal="center" vertical="center"/>
    </xf>
    <xf numFmtId="166" fontId="0" fillId="0" borderId="25" xfId="1" applyNumberFormat="1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 wrapText="1"/>
    </xf>
    <xf numFmtId="166" fontId="7" fillId="10" borderId="26" xfId="1" applyNumberFormat="1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174" fontId="8" fillId="0" borderId="0" xfId="0" applyNumberFormat="1" applyFont="1"/>
    <xf numFmtId="0" fontId="8" fillId="3" borderId="0" xfId="0" applyFont="1" applyFill="1" applyAlignment="1">
      <alignment vertical="center"/>
    </xf>
    <xf numFmtId="3" fontId="8" fillId="3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175" fontId="8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174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167" fontId="8" fillId="3" borderId="0" xfId="0" applyNumberFormat="1" applyFont="1" applyFill="1" applyAlignment="1">
      <alignment vertical="center"/>
    </xf>
    <xf numFmtId="175" fontId="8" fillId="3" borderId="0" xfId="0" applyNumberFormat="1" applyFont="1" applyFill="1" applyAlignment="1">
      <alignment vertical="center"/>
    </xf>
    <xf numFmtId="174" fontId="8" fillId="3" borderId="0" xfId="0" applyNumberFormat="1" applyFont="1" applyFill="1" applyAlignment="1">
      <alignment vertical="center"/>
    </xf>
    <xf numFmtId="0" fontId="0" fillId="2" borderId="24" xfId="0" applyFill="1" applyBorder="1" applyAlignment="1">
      <alignment horizontal="left" vertical="center" wrapText="1"/>
    </xf>
    <xf numFmtId="0" fontId="0" fillId="0" borderId="25" xfId="0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center" vertical="center"/>
    </xf>
    <xf numFmtId="9" fontId="0" fillId="0" borderId="35" xfId="1" applyFont="1" applyFill="1" applyBorder="1" applyAlignment="1">
      <alignment horizontal="center" vertical="center"/>
    </xf>
    <xf numFmtId="9" fontId="0" fillId="0" borderId="36" xfId="1" applyFont="1" applyFill="1" applyBorder="1" applyAlignment="1">
      <alignment horizontal="center" vertical="center"/>
    </xf>
    <xf numFmtId="9" fontId="0" fillId="2" borderId="5" xfId="1" applyFont="1" applyFill="1" applyBorder="1" applyAlignment="1">
      <alignment horizontal="center" vertical="center"/>
    </xf>
    <xf numFmtId="9" fontId="0" fillId="0" borderId="5" xfId="1" applyFont="1" applyFill="1" applyBorder="1" applyAlignment="1">
      <alignment horizontal="center" vertical="center"/>
    </xf>
    <xf numFmtId="9" fontId="0" fillId="2" borderId="7" xfId="1" applyFont="1" applyFill="1" applyBorder="1" applyAlignment="1">
      <alignment horizontal="center" vertical="center"/>
    </xf>
    <xf numFmtId="9" fontId="0" fillId="3" borderId="31" xfId="1" applyFont="1" applyFill="1" applyBorder="1" applyAlignment="1">
      <alignment horizontal="center" vertical="center"/>
    </xf>
    <xf numFmtId="9" fontId="0" fillId="3" borderId="19" xfId="1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12" fillId="0" borderId="0" xfId="0" applyFont="1"/>
    <xf numFmtId="164" fontId="0" fillId="2" borderId="10" xfId="2" applyNumberFormat="1" applyFon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 wrapText="1"/>
    </xf>
    <xf numFmtId="0" fontId="0" fillId="2" borderId="55" xfId="0" applyFill="1" applyBorder="1" applyAlignment="1">
      <alignment horizontal="left" vertical="center" wrapText="1"/>
    </xf>
    <xf numFmtId="0" fontId="0" fillId="2" borderId="55" xfId="0" applyFill="1" applyBorder="1" applyAlignment="1">
      <alignment horizontal="center" vertical="center"/>
    </xf>
    <xf numFmtId="0" fontId="0" fillId="2" borderId="56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0" fillId="2" borderId="58" xfId="0" applyFill="1" applyBorder="1" applyAlignment="1">
      <alignment horizontal="center" vertical="center"/>
    </xf>
    <xf numFmtId="0" fontId="0" fillId="2" borderId="59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164" fontId="0" fillId="2" borderId="58" xfId="2" applyNumberFormat="1" applyFont="1" applyFill="1" applyBorder="1" applyAlignment="1">
      <alignment horizontal="center" vertical="center"/>
    </xf>
    <xf numFmtId="164" fontId="0" fillId="2" borderId="59" xfId="2" applyNumberFormat="1" applyFont="1" applyFill="1" applyBorder="1" applyAlignment="1">
      <alignment horizontal="center" vertical="center"/>
    </xf>
    <xf numFmtId="9" fontId="0" fillId="2" borderId="45" xfId="1" applyFont="1" applyFill="1" applyBorder="1" applyAlignment="1">
      <alignment horizontal="center" vertical="center"/>
    </xf>
    <xf numFmtId="9" fontId="0" fillId="2" borderId="57" xfId="1" applyFont="1" applyFill="1" applyBorder="1" applyAlignment="1">
      <alignment horizontal="center" vertical="center"/>
    </xf>
    <xf numFmtId="9" fontId="0" fillId="3" borderId="39" xfId="1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12" fillId="0" borderId="63" xfId="0" applyFont="1" applyBorder="1" applyAlignment="1">
      <alignment horizontal="center" vertical="center"/>
    </xf>
    <xf numFmtId="164" fontId="12" fillId="0" borderId="63" xfId="2" applyNumberFormat="1" applyFont="1" applyFill="1" applyBorder="1" applyAlignment="1">
      <alignment horizontal="center" vertical="center"/>
    </xf>
    <xf numFmtId="164" fontId="12" fillId="0" borderId="3" xfId="2" applyNumberFormat="1" applyFont="1" applyFill="1" applyBorder="1" applyAlignment="1">
      <alignment horizontal="center" vertical="center"/>
    </xf>
    <xf numFmtId="9" fontId="12" fillId="0" borderId="64" xfId="1" applyFont="1" applyFill="1" applyBorder="1" applyAlignment="1">
      <alignment horizontal="center" vertical="center"/>
    </xf>
    <xf numFmtId="9" fontId="12" fillId="0" borderId="65" xfId="1" applyFont="1" applyFill="1" applyBorder="1" applyAlignment="1">
      <alignment horizontal="center" vertical="center"/>
    </xf>
    <xf numFmtId="9" fontId="12" fillId="3" borderId="3" xfId="1" applyFont="1" applyFill="1" applyBorder="1" applyAlignment="1">
      <alignment horizontal="center" vertical="center"/>
    </xf>
    <xf numFmtId="0" fontId="0" fillId="0" borderId="26" xfId="0" applyBorder="1" applyAlignment="1">
      <alignment horizontal="left" vertical="center" wrapText="1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7" xfId="2" applyNumberFormat="1" applyFont="1" applyFill="1" applyBorder="1" applyAlignment="1">
      <alignment horizontal="center" vertical="center"/>
    </xf>
    <xf numFmtId="164" fontId="0" fillId="0" borderId="9" xfId="2" applyNumberFormat="1" applyFont="1" applyFill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164" fontId="12" fillId="0" borderId="67" xfId="2" applyNumberFormat="1" applyFont="1" applyFill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164" fontId="0" fillId="2" borderId="24" xfId="2" applyNumberFormat="1" applyFont="1" applyFill="1" applyBorder="1" applyAlignment="1">
      <alignment horizontal="center" vertical="center"/>
    </xf>
    <xf numFmtId="164" fontId="0" fillId="2" borderId="55" xfId="2" applyNumberFormat="1" applyFont="1" applyFill="1" applyBorder="1" applyAlignment="1">
      <alignment horizontal="center" vertical="center"/>
    </xf>
    <xf numFmtId="164" fontId="0" fillId="0" borderId="26" xfId="2" applyNumberFormat="1" applyFont="1" applyFill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0" fillId="2" borderId="5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2" borderId="68" xfId="0" applyFill="1" applyBorder="1" applyAlignment="1">
      <alignment horizontal="center" vertical="center"/>
    </xf>
    <xf numFmtId="0" fontId="0" fillId="2" borderId="61" xfId="0" applyFill="1" applyBorder="1" applyAlignment="1">
      <alignment horizontal="center" vertical="center"/>
    </xf>
    <xf numFmtId="9" fontId="0" fillId="0" borderId="8" xfId="1" applyFont="1" applyFill="1" applyBorder="1" applyAlignment="1">
      <alignment horizontal="center" vertical="center"/>
    </xf>
    <xf numFmtId="9" fontId="0" fillId="0" borderId="21" xfId="1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69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9" fontId="0" fillId="2" borderId="36" xfId="1" applyFont="1" applyFill="1" applyBorder="1" applyAlignment="1">
      <alignment horizontal="center" vertical="center"/>
    </xf>
    <xf numFmtId="9" fontId="0" fillId="2" borderId="38" xfId="1" applyFont="1" applyFill="1" applyBorder="1" applyAlignment="1">
      <alignment horizontal="center" vertical="center"/>
    </xf>
    <xf numFmtId="9" fontId="0" fillId="3" borderId="17" xfId="1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4" fontId="0" fillId="0" borderId="42" xfId="2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left" vertical="center" wrapText="1"/>
    </xf>
    <xf numFmtId="164" fontId="0" fillId="0" borderId="21" xfId="2" applyNumberFormat="1" applyFont="1" applyFill="1" applyBorder="1" applyAlignment="1">
      <alignment horizontal="center" vertical="center"/>
    </xf>
    <xf numFmtId="164" fontId="0" fillId="0" borderId="8" xfId="2" applyNumberFormat="1" applyFont="1" applyFill="1" applyBorder="1" applyAlignment="1">
      <alignment horizontal="center" vertical="center"/>
    </xf>
    <xf numFmtId="164" fontId="0" fillId="0" borderId="44" xfId="2" applyNumberFormat="1" applyFont="1" applyFill="1" applyBorder="1" applyAlignment="1">
      <alignment horizontal="center" vertical="center"/>
    </xf>
    <xf numFmtId="166" fontId="0" fillId="0" borderId="9" xfId="1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4" xfId="0" applyNumberFormat="1" applyBorder="1"/>
    <xf numFmtId="166" fontId="0" fillId="0" borderId="15" xfId="1" applyNumberFormat="1" applyFont="1" applyBorder="1"/>
    <xf numFmtId="0" fontId="0" fillId="2" borderId="60" xfId="0" applyFill="1" applyBorder="1" applyAlignment="1">
      <alignment horizontal="left" vertical="center" wrapText="1"/>
    </xf>
    <xf numFmtId="164" fontId="0" fillId="2" borderId="57" xfId="2" applyNumberFormat="1" applyFont="1" applyFill="1" applyBorder="1" applyAlignment="1">
      <alignment horizontal="center" vertical="center"/>
    </xf>
    <xf numFmtId="164" fontId="0" fillId="2" borderId="45" xfId="2" applyNumberFormat="1" applyFont="1" applyFill="1" applyBorder="1" applyAlignment="1">
      <alignment horizontal="center" vertical="center"/>
    </xf>
    <xf numFmtId="164" fontId="0" fillId="2" borderId="70" xfId="2" applyNumberFormat="1" applyFont="1" applyFill="1" applyBorder="1" applyAlignment="1">
      <alignment horizontal="center" vertical="center"/>
    </xf>
    <xf numFmtId="166" fontId="0" fillId="2" borderId="59" xfId="1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164" fontId="0" fillId="0" borderId="42" xfId="0" applyNumberFormat="1" applyBorder="1"/>
    <xf numFmtId="166" fontId="0" fillId="0" borderId="16" xfId="1" applyNumberFormat="1" applyFont="1" applyBorder="1"/>
    <xf numFmtId="0" fontId="0" fillId="3" borderId="31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center" vertical="center"/>
    </xf>
    <xf numFmtId="0" fontId="9" fillId="0" borderId="15" xfId="0" applyFont="1" applyBorder="1"/>
    <xf numFmtId="0" fontId="8" fillId="0" borderId="30" xfId="0" applyFont="1" applyBorder="1"/>
    <xf numFmtId="0" fontId="8" fillId="0" borderId="46" xfId="0" applyFont="1" applyBorder="1"/>
    <xf numFmtId="0" fontId="9" fillId="13" borderId="18" xfId="0" applyFont="1" applyFill="1" applyBorder="1" applyAlignment="1">
      <alignment horizontal="center" vertical="center" wrapText="1"/>
    </xf>
    <xf numFmtId="0" fontId="8" fillId="0" borderId="28" xfId="0" applyFont="1" applyBorder="1"/>
    <xf numFmtId="0" fontId="8" fillId="0" borderId="29" xfId="0" applyFont="1" applyBorder="1"/>
    <xf numFmtId="0" fontId="9" fillId="12" borderId="18" xfId="0" applyFont="1" applyFill="1" applyBorder="1" applyAlignment="1">
      <alignment horizontal="center" vertical="center" wrapText="1"/>
    </xf>
    <xf numFmtId="0" fontId="9" fillId="12" borderId="29" xfId="0" applyFont="1" applyFill="1" applyBorder="1" applyAlignment="1">
      <alignment horizontal="center" vertical="center" wrapText="1"/>
    </xf>
    <xf numFmtId="0" fontId="9" fillId="14" borderId="18" xfId="0" applyFont="1" applyFill="1" applyBorder="1" applyAlignment="1">
      <alignment horizontal="center" vertical="center" wrapText="1"/>
    </xf>
    <xf numFmtId="0" fontId="10" fillId="14" borderId="29" xfId="0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1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Наука!$B$6</c:f>
              <c:strCache>
                <c:ptCount val="1"/>
                <c:pt idx="0">
                  <c:v>Очки науки, факт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Наука!$B$7:$B$366</c:f>
              <c:numCache>
                <c:formatCode>General</c:formatCode>
                <c:ptCount val="36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2.9999999999999996</c:v>
                </c:pt>
                <c:pt idx="10">
                  <c:v>3.2999999999999994</c:v>
                </c:pt>
                <c:pt idx="11">
                  <c:v>3.5999999999999992</c:v>
                </c:pt>
                <c:pt idx="12">
                  <c:v>3.899999999999999</c:v>
                </c:pt>
                <c:pt idx="13">
                  <c:v>4.1999999999999993</c:v>
                </c:pt>
                <c:pt idx="14">
                  <c:v>4.4999999999999991</c:v>
                </c:pt>
                <c:pt idx="15">
                  <c:v>4.7999999999999989</c:v>
                </c:pt>
                <c:pt idx="16">
                  <c:v>5.0999999999999988</c:v>
                </c:pt>
                <c:pt idx="17">
                  <c:v>5.3999999999999986</c:v>
                </c:pt>
                <c:pt idx="18">
                  <c:v>5.6999999999999984</c:v>
                </c:pt>
                <c:pt idx="19">
                  <c:v>5.9999999999999982</c:v>
                </c:pt>
                <c:pt idx="20">
                  <c:v>6.299999999999998</c:v>
                </c:pt>
                <c:pt idx="21">
                  <c:v>6.5999999999999979</c:v>
                </c:pt>
                <c:pt idx="22">
                  <c:v>6.8999999999999977</c:v>
                </c:pt>
                <c:pt idx="23">
                  <c:v>7.1999999999999975</c:v>
                </c:pt>
                <c:pt idx="24">
                  <c:v>7.4999999999999973</c:v>
                </c:pt>
                <c:pt idx="25">
                  <c:v>7.7999999999999972</c:v>
                </c:pt>
                <c:pt idx="26">
                  <c:v>8.0999999999999979</c:v>
                </c:pt>
                <c:pt idx="27">
                  <c:v>8.3999999999999986</c:v>
                </c:pt>
                <c:pt idx="28">
                  <c:v>8.6999999999999993</c:v>
                </c:pt>
                <c:pt idx="29">
                  <c:v>9</c:v>
                </c:pt>
                <c:pt idx="30">
                  <c:v>9.3000000000000007</c:v>
                </c:pt>
                <c:pt idx="31">
                  <c:v>9.6000000000000014</c:v>
                </c:pt>
                <c:pt idx="32">
                  <c:v>9.9000000000000021</c:v>
                </c:pt>
                <c:pt idx="33">
                  <c:v>10.200000000000003</c:v>
                </c:pt>
                <c:pt idx="34">
                  <c:v>10.500000000000004</c:v>
                </c:pt>
                <c:pt idx="35">
                  <c:v>10.800000000000004</c:v>
                </c:pt>
                <c:pt idx="36">
                  <c:v>11.100000000000005</c:v>
                </c:pt>
                <c:pt idx="37">
                  <c:v>11.400000000000006</c:v>
                </c:pt>
                <c:pt idx="38">
                  <c:v>11.700000000000006</c:v>
                </c:pt>
                <c:pt idx="39">
                  <c:v>12.000000000000007</c:v>
                </c:pt>
                <c:pt idx="40">
                  <c:v>12.300000000000008</c:v>
                </c:pt>
                <c:pt idx="41">
                  <c:v>12.600000000000009</c:v>
                </c:pt>
                <c:pt idx="42">
                  <c:v>12.900000000000009</c:v>
                </c:pt>
                <c:pt idx="43">
                  <c:v>13.20000000000001</c:v>
                </c:pt>
                <c:pt idx="44">
                  <c:v>13.500000000000011</c:v>
                </c:pt>
                <c:pt idx="45">
                  <c:v>13.800000000000011</c:v>
                </c:pt>
                <c:pt idx="46">
                  <c:v>14.100000000000012</c:v>
                </c:pt>
                <c:pt idx="47">
                  <c:v>14.400000000000013</c:v>
                </c:pt>
                <c:pt idx="48">
                  <c:v>14.700000000000014</c:v>
                </c:pt>
                <c:pt idx="49">
                  <c:v>15.000000000000014</c:v>
                </c:pt>
                <c:pt idx="50">
                  <c:v>15.300000000000015</c:v>
                </c:pt>
                <c:pt idx="51">
                  <c:v>15.600000000000016</c:v>
                </c:pt>
                <c:pt idx="52">
                  <c:v>15.900000000000016</c:v>
                </c:pt>
                <c:pt idx="53">
                  <c:v>16.200000000000017</c:v>
                </c:pt>
                <c:pt idx="54">
                  <c:v>16.500000000000018</c:v>
                </c:pt>
                <c:pt idx="55">
                  <c:v>16.800000000000018</c:v>
                </c:pt>
                <c:pt idx="56">
                  <c:v>17.100000000000019</c:v>
                </c:pt>
                <c:pt idx="57">
                  <c:v>17.40000000000002</c:v>
                </c:pt>
                <c:pt idx="58">
                  <c:v>17.700000000000021</c:v>
                </c:pt>
                <c:pt idx="59">
                  <c:v>18.000000000000021</c:v>
                </c:pt>
                <c:pt idx="60">
                  <c:v>18.300000000000022</c:v>
                </c:pt>
                <c:pt idx="61">
                  <c:v>18.600000000000023</c:v>
                </c:pt>
                <c:pt idx="62">
                  <c:v>18.900000000000023</c:v>
                </c:pt>
                <c:pt idx="63">
                  <c:v>19.200000000000024</c:v>
                </c:pt>
                <c:pt idx="64">
                  <c:v>19.500000000000025</c:v>
                </c:pt>
                <c:pt idx="65">
                  <c:v>19.800000000000026</c:v>
                </c:pt>
                <c:pt idx="66">
                  <c:v>20.100000000000026</c:v>
                </c:pt>
                <c:pt idx="67">
                  <c:v>20.400000000000027</c:v>
                </c:pt>
                <c:pt idx="68">
                  <c:v>20.700000000000028</c:v>
                </c:pt>
                <c:pt idx="69">
                  <c:v>21.000000000000028</c:v>
                </c:pt>
                <c:pt idx="70">
                  <c:v>21.300000000000029</c:v>
                </c:pt>
                <c:pt idx="71">
                  <c:v>21.60000000000003</c:v>
                </c:pt>
                <c:pt idx="72">
                  <c:v>21.900000000000031</c:v>
                </c:pt>
                <c:pt idx="73">
                  <c:v>22.200000000000031</c:v>
                </c:pt>
                <c:pt idx="74">
                  <c:v>22.500000000000032</c:v>
                </c:pt>
                <c:pt idx="75">
                  <c:v>22.800000000000033</c:v>
                </c:pt>
                <c:pt idx="76">
                  <c:v>23.100000000000033</c:v>
                </c:pt>
                <c:pt idx="77">
                  <c:v>23.400000000000034</c:v>
                </c:pt>
                <c:pt idx="78">
                  <c:v>23.700000000000035</c:v>
                </c:pt>
                <c:pt idx="79">
                  <c:v>24.000000000000036</c:v>
                </c:pt>
                <c:pt idx="80">
                  <c:v>24.300000000000036</c:v>
                </c:pt>
                <c:pt idx="81">
                  <c:v>24.600000000000037</c:v>
                </c:pt>
                <c:pt idx="82">
                  <c:v>24.900000000000038</c:v>
                </c:pt>
                <c:pt idx="83">
                  <c:v>25.200000000000038</c:v>
                </c:pt>
                <c:pt idx="84">
                  <c:v>25.500000000000039</c:v>
                </c:pt>
                <c:pt idx="85">
                  <c:v>25.80000000000004</c:v>
                </c:pt>
                <c:pt idx="86">
                  <c:v>26.100000000000041</c:v>
                </c:pt>
                <c:pt idx="87">
                  <c:v>26.400000000000041</c:v>
                </c:pt>
                <c:pt idx="88">
                  <c:v>26.700000000000042</c:v>
                </c:pt>
                <c:pt idx="89">
                  <c:v>27.000000000000043</c:v>
                </c:pt>
                <c:pt idx="90">
                  <c:v>27.300000000000043</c:v>
                </c:pt>
                <c:pt idx="91">
                  <c:v>27.600000000000044</c:v>
                </c:pt>
                <c:pt idx="92">
                  <c:v>27.900000000000045</c:v>
                </c:pt>
                <c:pt idx="93">
                  <c:v>28.200000000000045</c:v>
                </c:pt>
                <c:pt idx="94">
                  <c:v>28.500000000000046</c:v>
                </c:pt>
                <c:pt idx="95">
                  <c:v>28.800000000000047</c:v>
                </c:pt>
                <c:pt idx="96">
                  <c:v>29.100000000000048</c:v>
                </c:pt>
                <c:pt idx="97">
                  <c:v>29.400000000000048</c:v>
                </c:pt>
                <c:pt idx="98">
                  <c:v>29.700000000000049</c:v>
                </c:pt>
                <c:pt idx="99">
                  <c:v>30.00000000000005</c:v>
                </c:pt>
                <c:pt idx="100">
                  <c:v>30.30000000000005</c:v>
                </c:pt>
                <c:pt idx="101">
                  <c:v>30.600000000000051</c:v>
                </c:pt>
                <c:pt idx="102">
                  <c:v>30.900000000000052</c:v>
                </c:pt>
                <c:pt idx="103">
                  <c:v>31.200000000000053</c:v>
                </c:pt>
                <c:pt idx="104">
                  <c:v>31.500000000000053</c:v>
                </c:pt>
                <c:pt idx="105">
                  <c:v>31.800000000000054</c:v>
                </c:pt>
                <c:pt idx="106">
                  <c:v>32.100000000000051</c:v>
                </c:pt>
                <c:pt idx="107">
                  <c:v>32.400000000000048</c:v>
                </c:pt>
                <c:pt idx="108">
                  <c:v>32.700000000000045</c:v>
                </c:pt>
                <c:pt idx="109">
                  <c:v>33.000000000000043</c:v>
                </c:pt>
                <c:pt idx="110">
                  <c:v>33.30000000000004</c:v>
                </c:pt>
                <c:pt idx="111">
                  <c:v>33.600000000000037</c:v>
                </c:pt>
                <c:pt idx="112">
                  <c:v>33.900000000000034</c:v>
                </c:pt>
                <c:pt idx="113">
                  <c:v>34.200000000000031</c:v>
                </c:pt>
                <c:pt idx="114">
                  <c:v>34.500000000000028</c:v>
                </c:pt>
                <c:pt idx="115">
                  <c:v>34.800000000000026</c:v>
                </c:pt>
                <c:pt idx="116">
                  <c:v>35.100000000000023</c:v>
                </c:pt>
                <c:pt idx="117">
                  <c:v>35.40000000000002</c:v>
                </c:pt>
                <c:pt idx="118">
                  <c:v>35.700000000000017</c:v>
                </c:pt>
                <c:pt idx="119">
                  <c:v>36.000000000000014</c:v>
                </c:pt>
                <c:pt idx="120">
                  <c:v>36.300000000000011</c:v>
                </c:pt>
                <c:pt idx="121">
                  <c:v>36.600000000000009</c:v>
                </c:pt>
                <c:pt idx="122">
                  <c:v>36.900000000000006</c:v>
                </c:pt>
                <c:pt idx="123">
                  <c:v>37.200000000000003</c:v>
                </c:pt>
                <c:pt idx="124">
                  <c:v>37.5</c:v>
                </c:pt>
                <c:pt idx="125">
                  <c:v>37.799999999999997</c:v>
                </c:pt>
                <c:pt idx="126">
                  <c:v>38.099999999999994</c:v>
                </c:pt>
                <c:pt idx="127">
                  <c:v>38.399999999999991</c:v>
                </c:pt>
                <c:pt idx="128">
                  <c:v>38.699999999999989</c:v>
                </c:pt>
                <c:pt idx="129">
                  <c:v>38.999999999999986</c:v>
                </c:pt>
                <c:pt idx="130">
                  <c:v>39.299999999999983</c:v>
                </c:pt>
                <c:pt idx="131">
                  <c:v>39.59999999999998</c:v>
                </c:pt>
                <c:pt idx="132">
                  <c:v>39.899999999999977</c:v>
                </c:pt>
                <c:pt idx="133">
                  <c:v>40.199999999999974</c:v>
                </c:pt>
                <c:pt idx="134">
                  <c:v>40.499999999999972</c:v>
                </c:pt>
                <c:pt idx="135">
                  <c:v>40.799999999999969</c:v>
                </c:pt>
                <c:pt idx="136">
                  <c:v>41.099999999999966</c:v>
                </c:pt>
                <c:pt idx="137">
                  <c:v>41.399999999999963</c:v>
                </c:pt>
                <c:pt idx="138">
                  <c:v>41.69999999999996</c:v>
                </c:pt>
                <c:pt idx="139">
                  <c:v>41.999999999999957</c:v>
                </c:pt>
                <c:pt idx="140">
                  <c:v>42.299999999999955</c:v>
                </c:pt>
                <c:pt idx="141">
                  <c:v>42.599999999999952</c:v>
                </c:pt>
                <c:pt idx="142">
                  <c:v>42.899999999999949</c:v>
                </c:pt>
                <c:pt idx="143">
                  <c:v>43.199999999999946</c:v>
                </c:pt>
                <c:pt idx="144">
                  <c:v>43.499999999999943</c:v>
                </c:pt>
                <c:pt idx="145">
                  <c:v>43.79999999999994</c:v>
                </c:pt>
                <c:pt idx="146">
                  <c:v>44.099999999999937</c:v>
                </c:pt>
                <c:pt idx="147">
                  <c:v>44.399999999999935</c:v>
                </c:pt>
                <c:pt idx="148">
                  <c:v>44.699999999999932</c:v>
                </c:pt>
                <c:pt idx="149">
                  <c:v>45.499999999999929</c:v>
                </c:pt>
                <c:pt idx="150">
                  <c:v>46.299999999999926</c:v>
                </c:pt>
                <c:pt idx="151">
                  <c:v>47.099999999999923</c:v>
                </c:pt>
                <c:pt idx="152">
                  <c:v>47.89999999999992</c:v>
                </c:pt>
                <c:pt idx="153">
                  <c:v>48.699999999999918</c:v>
                </c:pt>
                <c:pt idx="154">
                  <c:v>49.499999999999915</c:v>
                </c:pt>
                <c:pt idx="155">
                  <c:v>50.299999999999912</c:v>
                </c:pt>
                <c:pt idx="156">
                  <c:v>51.099999999999909</c:v>
                </c:pt>
                <c:pt idx="157">
                  <c:v>51.899999999999906</c:v>
                </c:pt>
                <c:pt idx="158">
                  <c:v>52.699999999999903</c:v>
                </c:pt>
                <c:pt idx="159">
                  <c:v>53.499999999999901</c:v>
                </c:pt>
                <c:pt idx="160">
                  <c:v>54.299999999999898</c:v>
                </c:pt>
                <c:pt idx="161">
                  <c:v>55.099999999999895</c:v>
                </c:pt>
                <c:pt idx="162">
                  <c:v>55.899999999999892</c:v>
                </c:pt>
                <c:pt idx="163">
                  <c:v>56.699999999999889</c:v>
                </c:pt>
                <c:pt idx="164">
                  <c:v>57.499999999999886</c:v>
                </c:pt>
                <c:pt idx="165">
                  <c:v>58.299999999999883</c:v>
                </c:pt>
                <c:pt idx="166">
                  <c:v>59.099999999999881</c:v>
                </c:pt>
                <c:pt idx="167">
                  <c:v>59.899999999999878</c:v>
                </c:pt>
                <c:pt idx="168">
                  <c:v>60.699999999999875</c:v>
                </c:pt>
                <c:pt idx="169">
                  <c:v>61.499999999999872</c:v>
                </c:pt>
                <c:pt idx="170">
                  <c:v>62.299999999999869</c:v>
                </c:pt>
                <c:pt idx="171">
                  <c:v>63.099999999999866</c:v>
                </c:pt>
                <c:pt idx="172">
                  <c:v>63.899999999999864</c:v>
                </c:pt>
                <c:pt idx="173">
                  <c:v>64.699999999999861</c:v>
                </c:pt>
                <c:pt idx="174">
                  <c:v>65.499999999999858</c:v>
                </c:pt>
                <c:pt idx="175">
                  <c:v>66.299999999999855</c:v>
                </c:pt>
                <c:pt idx="176">
                  <c:v>67.099999999999852</c:v>
                </c:pt>
                <c:pt idx="177">
                  <c:v>67.899999999999849</c:v>
                </c:pt>
                <c:pt idx="178">
                  <c:v>68.699999999999847</c:v>
                </c:pt>
                <c:pt idx="179">
                  <c:v>69.499999999999844</c:v>
                </c:pt>
                <c:pt idx="180">
                  <c:v>70.299999999999841</c:v>
                </c:pt>
                <c:pt idx="181">
                  <c:v>71.099999999999838</c:v>
                </c:pt>
                <c:pt idx="182">
                  <c:v>71.899999999999835</c:v>
                </c:pt>
                <c:pt idx="183">
                  <c:v>72.699999999999832</c:v>
                </c:pt>
                <c:pt idx="184">
                  <c:v>73.499999999999829</c:v>
                </c:pt>
                <c:pt idx="185">
                  <c:v>74.299999999999827</c:v>
                </c:pt>
                <c:pt idx="186">
                  <c:v>75.099999999999824</c:v>
                </c:pt>
                <c:pt idx="187">
                  <c:v>75.899999999999821</c:v>
                </c:pt>
                <c:pt idx="188">
                  <c:v>76.699999999999818</c:v>
                </c:pt>
                <c:pt idx="189">
                  <c:v>77.499999999999815</c:v>
                </c:pt>
                <c:pt idx="190">
                  <c:v>78.299999999999812</c:v>
                </c:pt>
                <c:pt idx="191">
                  <c:v>79.09999999999981</c:v>
                </c:pt>
                <c:pt idx="192">
                  <c:v>79.899999999999807</c:v>
                </c:pt>
                <c:pt idx="193">
                  <c:v>80.699999999999804</c:v>
                </c:pt>
                <c:pt idx="194">
                  <c:v>81.499999999999801</c:v>
                </c:pt>
                <c:pt idx="195">
                  <c:v>82.299999999999798</c:v>
                </c:pt>
                <c:pt idx="196">
                  <c:v>83.099999999999795</c:v>
                </c:pt>
                <c:pt idx="197">
                  <c:v>83.899999999999793</c:v>
                </c:pt>
                <c:pt idx="198">
                  <c:v>84.69999999999979</c:v>
                </c:pt>
                <c:pt idx="199">
                  <c:v>85.499999999999787</c:v>
                </c:pt>
                <c:pt idx="200">
                  <c:v>86.299999999999784</c:v>
                </c:pt>
                <c:pt idx="201">
                  <c:v>87.099999999999781</c:v>
                </c:pt>
                <c:pt idx="202">
                  <c:v>87.899999999999778</c:v>
                </c:pt>
                <c:pt idx="203">
                  <c:v>88.699999999999775</c:v>
                </c:pt>
                <c:pt idx="204">
                  <c:v>89.499999999999773</c:v>
                </c:pt>
                <c:pt idx="205">
                  <c:v>90.29999999999977</c:v>
                </c:pt>
                <c:pt idx="206">
                  <c:v>91.099999999999767</c:v>
                </c:pt>
                <c:pt idx="207">
                  <c:v>91.899999999999764</c:v>
                </c:pt>
                <c:pt idx="208">
                  <c:v>92.699999999999761</c:v>
                </c:pt>
                <c:pt idx="209">
                  <c:v>93.499999999999758</c:v>
                </c:pt>
                <c:pt idx="210">
                  <c:v>94.299999999999756</c:v>
                </c:pt>
                <c:pt idx="211">
                  <c:v>95.099999999999753</c:v>
                </c:pt>
                <c:pt idx="212">
                  <c:v>95.89999999999975</c:v>
                </c:pt>
                <c:pt idx="213">
                  <c:v>96.699999999999747</c:v>
                </c:pt>
                <c:pt idx="214">
                  <c:v>97.499999999999744</c:v>
                </c:pt>
                <c:pt idx="215">
                  <c:v>98.299999999999741</c:v>
                </c:pt>
                <c:pt idx="216">
                  <c:v>99.099999999999739</c:v>
                </c:pt>
                <c:pt idx="217">
                  <c:v>99.899999999999736</c:v>
                </c:pt>
                <c:pt idx="218">
                  <c:v>100.69999999999973</c:v>
                </c:pt>
                <c:pt idx="219">
                  <c:v>101.49999999999973</c:v>
                </c:pt>
                <c:pt idx="220">
                  <c:v>102.29999999999973</c:v>
                </c:pt>
                <c:pt idx="221">
                  <c:v>103.09999999999972</c:v>
                </c:pt>
                <c:pt idx="222">
                  <c:v>103.89999999999972</c:v>
                </c:pt>
                <c:pt idx="223">
                  <c:v>104.69999999999972</c:v>
                </c:pt>
                <c:pt idx="224">
                  <c:v>105.49999999999972</c:v>
                </c:pt>
                <c:pt idx="225">
                  <c:v>106.29999999999971</c:v>
                </c:pt>
                <c:pt idx="226">
                  <c:v>107.09999999999971</c:v>
                </c:pt>
                <c:pt idx="227">
                  <c:v>107.89999999999971</c:v>
                </c:pt>
                <c:pt idx="228">
                  <c:v>108.6999999999997</c:v>
                </c:pt>
                <c:pt idx="229">
                  <c:v>109.4999999999997</c:v>
                </c:pt>
                <c:pt idx="230">
                  <c:v>110.2999999999997</c:v>
                </c:pt>
                <c:pt idx="231">
                  <c:v>111.0999999999997</c:v>
                </c:pt>
                <c:pt idx="232">
                  <c:v>111.89999999999969</c:v>
                </c:pt>
                <c:pt idx="233">
                  <c:v>112.69999999999969</c:v>
                </c:pt>
                <c:pt idx="234">
                  <c:v>113.49999999999969</c:v>
                </c:pt>
                <c:pt idx="235">
                  <c:v>114.29999999999968</c:v>
                </c:pt>
                <c:pt idx="236">
                  <c:v>115.09999999999968</c:v>
                </c:pt>
                <c:pt idx="237">
                  <c:v>115.89999999999968</c:v>
                </c:pt>
                <c:pt idx="238">
                  <c:v>116.69999999999968</c:v>
                </c:pt>
                <c:pt idx="239">
                  <c:v>117.49999999999967</c:v>
                </c:pt>
                <c:pt idx="240">
                  <c:v>118.29999999999967</c:v>
                </c:pt>
                <c:pt idx="241">
                  <c:v>119.09999999999967</c:v>
                </c:pt>
                <c:pt idx="242">
                  <c:v>119.89999999999966</c:v>
                </c:pt>
                <c:pt idx="243">
                  <c:v>120.69999999999966</c:v>
                </c:pt>
                <c:pt idx="244">
                  <c:v>121.49999999999966</c:v>
                </c:pt>
                <c:pt idx="245">
                  <c:v>122.29999999999966</c:v>
                </c:pt>
                <c:pt idx="246">
                  <c:v>123.09999999999965</c:v>
                </c:pt>
                <c:pt idx="247">
                  <c:v>123.89999999999965</c:v>
                </c:pt>
                <c:pt idx="248">
                  <c:v>124.69999999999965</c:v>
                </c:pt>
                <c:pt idx="249">
                  <c:v>125.49999999999964</c:v>
                </c:pt>
                <c:pt idx="250">
                  <c:v>126.29999999999964</c:v>
                </c:pt>
                <c:pt idx="251">
                  <c:v>127.09999999999964</c:v>
                </c:pt>
                <c:pt idx="252">
                  <c:v>127.89999999999964</c:v>
                </c:pt>
                <c:pt idx="253">
                  <c:v>128.69999999999965</c:v>
                </c:pt>
                <c:pt idx="254">
                  <c:v>129.49999999999966</c:v>
                </c:pt>
                <c:pt idx="255">
                  <c:v>130.29999999999967</c:v>
                </c:pt>
                <c:pt idx="256">
                  <c:v>131.09999999999968</c:v>
                </c:pt>
                <c:pt idx="257">
                  <c:v>131.89999999999969</c:v>
                </c:pt>
                <c:pt idx="258">
                  <c:v>132.6999999999997</c:v>
                </c:pt>
                <c:pt idx="259">
                  <c:v>133.49999999999972</c:v>
                </c:pt>
                <c:pt idx="260">
                  <c:v>134.29999999999973</c:v>
                </c:pt>
                <c:pt idx="261">
                  <c:v>135.09999999999974</c:v>
                </c:pt>
                <c:pt idx="262">
                  <c:v>135.89999999999975</c:v>
                </c:pt>
                <c:pt idx="263">
                  <c:v>136.69999999999976</c:v>
                </c:pt>
                <c:pt idx="264">
                  <c:v>137.49999999999977</c:v>
                </c:pt>
                <c:pt idx="265">
                  <c:v>138.29999999999978</c:v>
                </c:pt>
                <c:pt idx="266">
                  <c:v>139.0999999999998</c:v>
                </c:pt>
                <c:pt idx="267">
                  <c:v>139.89999999999981</c:v>
                </c:pt>
                <c:pt idx="268">
                  <c:v>140.69999999999982</c:v>
                </c:pt>
                <c:pt idx="269">
                  <c:v>141.49999999999983</c:v>
                </c:pt>
                <c:pt idx="270">
                  <c:v>142.29999999999984</c:v>
                </c:pt>
                <c:pt idx="271">
                  <c:v>143.09999999999985</c:v>
                </c:pt>
                <c:pt idx="272">
                  <c:v>143.89999999999986</c:v>
                </c:pt>
                <c:pt idx="273">
                  <c:v>144.69999999999987</c:v>
                </c:pt>
                <c:pt idx="274">
                  <c:v>145.49999999999989</c:v>
                </c:pt>
                <c:pt idx="275">
                  <c:v>146.2999999999999</c:v>
                </c:pt>
                <c:pt idx="276">
                  <c:v>147.09999999999991</c:v>
                </c:pt>
                <c:pt idx="277">
                  <c:v>147.89999999999992</c:v>
                </c:pt>
                <c:pt idx="278">
                  <c:v>148.69999999999993</c:v>
                </c:pt>
                <c:pt idx="279">
                  <c:v>149.49999999999994</c:v>
                </c:pt>
                <c:pt idx="280">
                  <c:v>150.29999999999995</c:v>
                </c:pt>
                <c:pt idx="281">
                  <c:v>151.09999999999997</c:v>
                </c:pt>
                <c:pt idx="282">
                  <c:v>151.89999999999998</c:v>
                </c:pt>
                <c:pt idx="283">
                  <c:v>152.69999999999999</c:v>
                </c:pt>
                <c:pt idx="284">
                  <c:v>153.5</c:v>
                </c:pt>
                <c:pt idx="285">
                  <c:v>154.30000000000001</c:v>
                </c:pt>
                <c:pt idx="286">
                  <c:v>155.10000000000002</c:v>
                </c:pt>
                <c:pt idx="287">
                  <c:v>155.90000000000003</c:v>
                </c:pt>
                <c:pt idx="288">
                  <c:v>156.70000000000005</c:v>
                </c:pt>
                <c:pt idx="289">
                  <c:v>157.50000000000006</c:v>
                </c:pt>
                <c:pt idx="290">
                  <c:v>158.30000000000007</c:v>
                </c:pt>
                <c:pt idx="291">
                  <c:v>159.10000000000008</c:v>
                </c:pt>
                <c:pt idx="292">
                  <c:v>159.90000000000009</c:v>
                </c:pt>
                <c:pt idx="293">
                  <c:v>160.7000000000001</c:v>
                </c:pt>
                <c:pt idx="294">
                  <c:v>161.50000000000011</c:v>
                </c:pt>
                <c:pt idx="295">
                  <c:v>162.30000000000013</c:v>
                </c:pt>
                <c:pt idx="296">
                  <c:v>163.10000000000014</c:v>
                </c:pt>
                <c:pt idx="297">
                  <c:v>163.90000000000015</c:v>
                </c:pt>
                <c:pt idx="298">
                  <c:v>164.70000000000016</c:v>
                </c:pt>
                <c:pt idx="299">
                  <c:v>166.00000000000017</c:v>
                </c:pt>
                <c:pt idx="300">
                  <c:v>167.30000000000018</c:v>
                </c:pt>
                <c:pt idx="301">
                  <c:v>168.60000000000019</c:v>
                </c:pt>
                <c:pt idx="302">
                  <c:v>169.9000000000002</c:v>
                </c:pt>
                <c:pt idx="303">
                  <c:v>171.20000000000022</c:v>
                </c:pt>
                <c:pt idx="304">
                  <c:v>172.50000000000023</c:v>
                </c:pt>
                <c:pt idx="305">
                  <c:v>173.80000000000024</c:v>
                </c:pt>
                <c:pt idx="306">
                  <c:v>175.10000000000025</c:v>
                </c:pt>
                <c:pt idx="307">
                  <c:v>176.40000000000026</c:v>
                </c:pt>
                <c:pt idx="308">
                  <c:v>177.70000000000027</c:v>
                </c:pt>
                <c:pt idx="309">
                  <c:v>179.00000000000028</c:v>
                </c:pt>
                <c:pt idx="310">
                  <c:v>180.3000000000003</c:v>
                </c:pt>
                <c:pt idx="311">
                  <c:v>181.60000000000031</c:v>
                </c:pt>
                <c:pt idx="312">
                  <c:v>182.90000000000032</c:v>
                </c:pt>
                <c:pt idx="313">
                  <c:v>184.20000000000033</c:v>
                </c:pt>
                <c:pt idx="314">
                  <c:v>185.50000000000034</c:v>
                </c:pt>
                <c:pt idx="315">
                  <c:v>186.80000000000035</c:v>
                </c:pt>
                <c:pt idx="316">
                  <c:v>188.10000000000036</c:v>
                </c:pt>
                <c:pt idx="317">
                  <c:v>189.40000000000038</c:v>
                </c:pt>
                <c:pt idx="318">
                  <c:v>190.70000000000039</c:v>
                </c:pt>
                <c:pt idx="319">
                  <c:v>192.0000000000004</c:v>
                </c:pt>
                <c:pt idx="320">
                  <c:v>193.30000000000041</c:v>
                </c:pt>
                <c:pt idx="321">
                  <c:v>194.60000000000042</c:v>
                </c:pt>
                <c:pt idx="322">
                  <c:v>195.90000000000043</c:v>
                </c:pt>
                <c:pt idx="323">
                  <c:v>197.20000000000044</c:v>
                </c:pt>
                <c:pt idx="324">
                  <c:v>198.50000000000045</c:v>
                </c:pt>
                <c:pt idx="325">
                  <c:v>199.80000000000047</c:v>
                </c:pt>
                <c:pt idx="326">
                  <c:v>201.10000000000048</c:v>
                </c:pt>
                <c:pt idx="327">
                  <c:v>202.40000000000049</c:v>
                </c:pt>
                <c:pt idx="328">
                  <c:v>203.7000000000005</c:v>
                </c:pt>
                <c:pt idx="329">
                  <c:v>205.00000000000051</c:v>
                </c:pt>
                <c:pt idx="330">
                  <c:v>206.30000000000052</c:v>
                </c:pt>
                <c:pt idx="331">
                  <c:v>207.60000000000053</c:v>
                </c:pt>
                <c:pt idx="332">
                  <c:v>208.90000000000055</c:v>
                </c:pt>
                <c:pt idx="333">
                  <c:v>210.20000000000056</c:v>
                </c:pt>
                <c:pt idx="334">
                  <c:v>211.50000000000057</c:v>
                </c:pt>
                <c:pt idx="335">
                  <c:v>212.80000000000058</c:v>
                </c:pt>
                <c:pt idx="336">
                  <c:v>214.10000000000059</c:v>
                </c:pt>
                <c:pt idx="337">
                  <c:v>215.4000000000006</c:v>
                </c:pt>
                <c:pt idx="338">
                  <c:v>216.70000000000061</c:v>
                </c:pt>
                <c:pt idx="339">
                  <c:v>218.00000000000063</c:v>
                </c:pt>
                <c:pt idx="340">
                  <c:v>219.30000000000064</c:v>
                </c:pt>
                <c:pt idx="341">
                  <c:v>220.60000000000065</c:v>
                </c:pt>
                <c:pt idx="342">
                  <c:v>221.90000000000066</c:v>
                </c:pt>
                <c:pt idx="343">
                  <c:v>223.20000000000067</c:v>
                </c:pt>
                <c:pt idx="344">
                  <c:v>224.50000000000068</c:v>
                </c:pt>
                <c:pt idx="345">
                  <c:v>225.80000000000069</c:v>
                </c:pt>
                <c:pt idx="346">
                  <c:v>227.1000000000007</c:v>
                </c:pt>
                <c:pt idx="347">
                  <c:v>228.40000000000072</c:v>
                </c:pt>
                <c:pt idx="348">
                  <c:v>229.70000000000073</c:v>
                </c:pt>
                <c:pt idx="349">
                  <c:v>231.00000000000074</c:v>
                </c:pt>
                <c:pt idx="350">
                  <c:v>232.30000000000075</c:v>
                </c:pt>
                <c:pt idx="351">
                  <c:v>233.60000000000076</c:v>
                </c:pt>
                <c:pt idx="352">
                  <c:v>234.90000000000077</c:v>
                </c:pt>
                <c:pt idx="353">
                  <c:v>236.20000000000078</c:v>
                </c:pt>
                <c:pt idx="354">
                  <c:v>237.5000000000008</c:v>
                </c:pt>
                <c:pt idx="355">
                  <c:v>238.80000000000081</c:v>
                </c:pt>
                <c:pt idx="356">
                  <c:v>240.10000000000082</c:v>
                </c:pt>
                <c:pt idx="357">
                  <c:v>241.40000000000083</c:v>
                </c:pt>
                <c:pt idx="358">
                  <c:v>242.70000000000084</c:v>
                </c:pt>
                <c:pt idx="359">
                  <c:v>244.00000000000085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D-4C58-A4B2-1EF2D2A0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078992"/>
        <c:axId val="310441632"/>
      </c:lineChart>
      <c:catAx>
        <c:axId val="308078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441632"/>
        <c:crosses val="autoZero"/>
        <c:auto val="1"/>
        <c:lblAlgn val="ctr"/>
        <c:lblOffset val="100"/>
        <c:noMultiLvlLbl val="0"/>
      </c:catAx>
      <c:valAx>
        <c:axId val="31044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07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168520</xdr:colOff>
      <xdr:row>1</xdr:row>
      <xdr:rowOff>39147</xdr:rowOff>
    </xdr:from>
    <xdr:to>
      <xdr:col>43</xdr:col>
      <xdr:colOff>498795</xdr:colOff>
      <xdr:row>1</xdr:row>
      <xdr:rowOff>369422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FA247798-AE30-C8E4-5194-A0D576CA4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10663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44</xdr:col>
      <xdr:colOff>102577</xdr:colOff>
      <xdr:row>1</xdr:row>
      <xdr:rowOff>39147</xdr:rowOff>
    </xdr:from>
    <xdr:to>
      <xdr:col>44</xdr:col>
      <xdr:colOff>432852</xdr:colOff>
      <xdr:row>1</xdr:row>
      <xdr:rowOff>369422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D0038D38-9425-927E-EE7C-433AF8166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9634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45</xdr:col>
      <xdr:colOff>80597</xdr:colOff>
      <xdr:row>1</xdr:row>
      <xdr:rowOff>39147</xdr:rowOff>
    </xdr:from>
    <xdr:to>
      <xdr:col>45</xdr:col>
      <xdr:colOff>410872</xdr:colOff>
      <xdr:row>1</xdr:row>
      <xdr:rowOff>369422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E5AFB072-617F-C8E2-C589-8FF5D2498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2826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46</xdr:col>
      <xdr:colOff>102577</xdr:colOff>
      <xdr:row>1</xdr:row>
      <xdr:rowOff>39147</xdr:rowOff>
    </xdr:from>
    <xdr:to>
      <xdr:col>46</xdr:col>
      <xdr:colOff>432852</xdr:colOff>
      <xdr:row>1</xdr:row>
      <xdr:rowOff>369422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C1EE942C-7DEB-72E9-886F-709CDBCD6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29977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47</xdr:col>
      <xdr:colOff>124558</xdr:colOff>
      <xdr:row>1</xdr:row>
      <xdr:rowOff>36635</xdr:rowOff>
    </xdr:from>
    <xdr:to>
      <xdr:col>47</xdr:col>
      <xdr:colOff>454833</xdr:colOff>
      <xdr:row>1</xdr:row>
      <xdr:rowOff>366910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A62298E8-4F30-72C9-C440-A4941385C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6904" y="249116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48</xdr:col>
      <xdr:colOff>95250</xdr:colOff>
      <xdr:row>1</xdr:row>
      <xdr:rowOff>39147</xdr:rowOff>
    </xdr:from>
    <xdr:to>
      <xdr:col>48</xdr:col>
      <xdr:colOff>425525</xdr:colOff>
      <xdr:row>1</xdr:row>
      <xdr:rowOff>369422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3BD77CB0-80DD-FA83-E622-91A6B1BB5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4185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50</xdr:col>
      <xdr:colOff>139212</xdr:colOff>
      <xdr:row>1</xdr:row>
      <xdr:rowOff>39147</xdr:rowOff>
    </xdr:from>
    <xdr:to>
      <xdr:col>50</xdr:col>
      <xdr:colOff>469487</xdr:colOff>
      <xdr:row>1</xdr:row>
      <xdr:rowOff>369422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649FB359-D832-553C-AC79-8E6E659B1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012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51</xdr:col>
      <xdr:colOff>146538</xdr:colOff>
      <xdr:row>1</xdr:row>
      <xdr:rowOff>39147</xdr:rowOff>
    </xdr:from>
    <xdr:to>
      <xdr:col>51</xdr:col>
      <xdr:colOff>476813</xdr:colOff>
      <xdr:row>1</xdr:row>
      <xdr:rowOff>369422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45231BCE-EA10-0A0A-A863-93A945506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1938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42</xdr:col>
      <xdr:colOff>396113</xdr:colOff>
      <xdr:row>4</xdr:row>
      <xdr:rowOff>19335</xdr:rowOff>
    </xdr:from>
    <xdr:to>
      <xdr:col>42</xdr:col>
      <xdr:colOff>645205</xdr:colOff>
      <xdr:row>5</xdr:row>
      <xdr:rowOff>4634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549A69CF-A8C9-480F-9B38-E928985A6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5327" y="1298406"/>
          <a:ext cx="249092" cy="257442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3</xdr:row>
      <xdr:rowOff>9618</xdr:rowOff>
    </xdr:from>
    <xdr:to>
      <xdr:col>42</xdr:col>
      <xdr:colOff>646659</xdr:colOff>
      <xdr:row>3</xdr:row>
      <xdr:rowOff>261618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6A257FB4-6B80-4DB2-A7CB-94236FFA8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101654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366805</xdr:colOff>
      <xdr:row>60</xdr:row>
      <xdr:rowOff>33430</xdr:rowOff>
    </xdr:from>
    <xdr:to>
      <xdr:col>42</xdr:col>
      <xdr:colOff>660796</xdr:colOff>
      <xdr:row>60</xdr:row>
      <xdr:rowOff>327421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5DFAA733-FEEF-4380-9558-06AD7DCDB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27180" y="3950586"/>
          <a:ext cx="293991" cy="293991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7</xdr:row>
      <xdr:rowOff>59532</xdr:rowOff>
    </xdr:from>
    <xdr:to>
      <xdr:col>42</xdr:col>
      <xdr:colOff>646659</xdr:colOff>
      <xdr:row>7</xdr:row>
      <xdr:rowOff>311532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6740A59B-E1FE-4440-BC5D-2CD6DBE20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2155032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6</xdr:row>
      <xdr:rowOff>16081</xdr:rowOff>
    </xdr:from>
    <xdr:to>
      <xdr:col>42</xdr:col>
      <xdr:colOff>646659</xdr:colOff>
      <xdr:row>7</xdr:row>
      <xdr:rowOff>1382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AFFE03B9-7873-4C9A-8F40-3D9D4E4F3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1839438"/>
          <a:ext cx="252000" cy="257444"/>
        </a:xfrm>
        <a:prstGeom prst="rect">
          <a:avLst/>
        </a:prstGeom>
      </xdr:spPr>
    </xdr:pic>
    <xdr:clientData/>
  </xdr:twoCellAnchor>
  <xdr:twoCellAnchor editAs="oneCell">
    <xdr:from>
      <xdr:col>42</xdr:col>
      <xdr:colOff>393417</xdr:colOff>
      <xdr:row>10</xdr:row>
      <xdr:rowOff>8707</xdr:rowOff>
    </xdr:from>
    <xdr:to>
      <xdr:col>42</xdr:col>
      <xdr:colOff>647901</xdr:colOff>
      <xdr:row>10</xdr:row>
      <xdr:rowOff>260707</xdr:rowOff>
    </xdr:to>
    <xdr:pic>
      <xdr:nvPicPr>
        <xdr:cNvPr id="62" name="Рисунок 61">
          <a:extLst>
            <a:ext uri="{FF2B5EF4-FFF2-40B4-BE49-F238E27FC236}">
              <a16:creationId xmlns:a16="http://schemas.microsoft.com/office/drawing/2014/main" id="{A4B50077-409E-4D34-AE1B-F7960C9DD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2631" y="3029493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47</xdr:col>
      <xdr:colOff>136180</xdr:colOff>
      <xdr:row>1</xdr:row>
      <xdr:rowOff>39147</xdr:rowOff>
    </xdr:from>
    <xdr:to>
      <xdr:col>47</xdr:col>
      <xdr:colOff>466455</xdr:colOff>
      <xdr:row>1</xdr:row>
      <xdr:rowOff>369422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3B94B1F4-011C-41AC-A0D5-89BBB6E89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7318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42</xdr:col>
      <xdr:colOff>393417</xdr:colOff>
      <xdr:row>7</xdr:row>
      <xdr:rowOff>379008</xdr:rowOff>
    </xdr:from>
    <xdr:to>
      <xdr:col>42</xdr:col>
      <xdr:colOff>647901</xdr:colOff>
      <xdr:row>8</xdr:row>
      <xdr:rowOff>250008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12CE1920-63A3-456B-8956-AD624FEA9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2631" y="2474508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351234</xdr:colOff>
      <xdr:row>59</xdr:row>
      <xdr:rowOff>138755</xdr:rowOff>
    </xdr:from>
    <xdr:to>
      <xdr:col>42</xdr:col>
      <xdr:colOff>681509</xdr:colOff>
      <xdr:row>59</xdr:row>
      <xdr:rowOff>469030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20C44ED6-B997-4128-A696-D9603B7D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11609" y="3484411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42</xdr:col>
      <xdr:colOff>359936</xdr:colOff>
      <xdr:row>61</xdr:row>
      <xdr:rowOff>136006</xdr:rowOff>
    </xdr:from>
    <xdr:to>
      <xdr:col>42</xdr:col>
      <xdr:colOff>690211</xdr:colOff>
      <xdr:row>61</xdr:row>
      <xdr:rowOff>466281</xdr:rowOff>
    </xdr:to>
    <xdr:pic>
      <xdr:nvPicPr>
        <xdr:cNvPr id="68" name="Рисунок 67">
          <a:extLst>
            <a:ext uri="{FF2B5EF4-FFF2-40B4-BE49-F238E27FC236}">
              <a16:creationId xmlns:a16="http://schemas.microsoft.com/office/drawing/2014/main" id="{A413EAAE-CFE0-480B-9B8B-D3F49B6F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20311" y="4446069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42</xdr:col>
      <xdr:colOff>359477</xdr:colOff>
      <xdr:row>62</xdr:row>
      <xdr:rowOff>152492</xdr:rowOff>
    </xdr:from>
    <xdr:to>
      <xdr:col>42</xdr:col>
      <xdr:colOff>689752</xdr:colOff>
      <xdr:row>62</xdr:row>
      <xdr:rowOff>482767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C5BE1913-2C79-44E3-95F6-8E19DE52B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19852" y="503405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49</xdr:col>
      <xdr:colOff>125185</xdr:colOff>
      <xdr:row>1</xdr:row>
      <xdr:rowOff>39147</xdr:rowOff>
    </xdr:from>
    <xdr:to>
      <xdr:col>49</xdr:col>
      <xdr:colOff>455460</xdr:colOff>
      <xdr:row>1</xdr:row>
      <xdr:rowOff>369422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ED1E195-EDB7-9D31-5BAA-E7397F74F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81385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52</xdr:col>
      <xdr:colOff>152400</xdr:colOff>
      <xdr:row>1</xdr:row>
      <xdr:rowOff>39147</xdr:rowOff>
    </xdr:from>
    <xdr:to>
      <xdr:col>52</xdr:col>
      <xdr:colOff>482675</xdr:colOff>
      <xdr:row>1</xdr:row>
      <xdr:rowOff>369422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85CEB5B0-4B18-8F5C-D61C-AEBDD100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740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5</xdr:row>
      <xdr:rowOff>5443</xdr:rowOff>
    </xdr:from>
    <xdr:to>
      <xdr:col>42</xdr:col>
      <xdr:colOff>646659</xdr:colOff>
      <xdr:row>5</xdr:row>
      <xdr:rowOff>257443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245D10E9-4F38-49AD-989C-40D0C44D4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155665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10</xdr:row>
      <xdr:rowOff>261257</xdr:rowOff>
    </xdr:from>
    <xdr:to>
      <xdr:col>42</xdr:col>
      <xdr:colOff>646659</xdr:colOff>
      <xdr:row>11</xdr:row>
      <xdr:rowOff>246555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56B13DA2-C9D9-48CF-8567-CC4132BC6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3282043"/>
          <a:ext cx="252000" cy="257441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8</xdr:row>
      <xdr:rowOff>267890</xdr:rowOff>
    </xdr:from>
    <xdr:to>
      <xdr:col>42</xdr:col>
      <xdr:colOff>646659</xdr:colOff>
      <xdr:row>9</xdr:row>
      <xdr:rowOff>252000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CF958C9D-20B9-4A72-83A6-03EFCD760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2744390"/>
          <a:ext cx="252000" cy="2562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18</xdr:row>
      <xdr:rowOff>1</xdr:rowOff>
    </xdr:from>
    <xdr:to>
      <xdr:col>42</xdr:col>
      <xdr:colOff>646659</xdr:colOff>
      <xdr:row>18</xdr:row>
      <xdr:rowOff>254630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070B1C7-28AF-4863-8527-C1B02411F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5374822"/>
          <a:ext cx="252000" cy="254629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14</xdr:row>
      <xdr:rowOff>6569</xdr:rowOff>
    </xdr:from>
    <xdr:to>
      <xdr:col>42</xdr:col>
      <xdr:colOff>646659</xdr:colOff>
      <xdr:row>14</xdr:row>
      <xdr:rowOff>261198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38E9A05D-1FE8-4708-BB2F-242AB18F6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4292819"/>
          <a:ext cx="252000" cy="254629"/>
        </a:xfrm>
        <a:prstGeom prst="rect">
          <a:avLst/>
        </a:prstGeom>
      </xdr:spPr>
    </xdr:pic>
    <xdr:clientData/>
  </xdr:twoCellAnchor>
  <xdr:twoCellAnchor editAs="oneCell">
    <xdr:from>
      <xdr:col>42</xdr:col>
      <xdr:colOff>393417</xdr:colOff>
      <xdr:row>16</xdr:row>
      <xdr:rowOff>6569</xdr:rowOff>
    </xdr:from>
    <xdr:to>
      <xdr:col>42</xdr:col>
      <xdr:colOff>647901</xdr:colOff>
      <xdr:row>16</xdr:row>
      <xdr:rowOff>258569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32213A70-1466-43DF-A3C1-62D8222D1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2631" y="4837105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393417</xdr:colOff>
      <xdr:row>15</xdr:row>
      <xdr:rowOff>7883</xdr:rowOff>
    </xdr:from>
    <xdr:to>
      <xdr:col>42</xdr:col>
      <xdr:colOff>647901</xdr:colOff>
      <xdr:row>15</xdr:row>
      <xdr:rowOff>259883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E9B490F-2F28-4D5D-8BB9-F1096EC1C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2631" y="4566276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17</xdr:row>
      <xdr:rowOff>6569</xdr:rowOff>
    </xdr:from>
    <xdr:to>
      <xdr:col>42</xdr:col>
      <xdr:colOff>646659</xdr:colOff>
      <xdr:row>17</xdr:row>
      <xdr:rowOff>258569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E0248077-FFBD-4AEA-90FB-27EE38507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5109248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19</xdr:row>
      <xdr:rowOff>6569</xdr:rowOff>
    </xdr:from>
    <xdr:to>
      <xdr:col>42</xdr:col>
      <xdr:colOff>646659</xdr:colOff>
      <xdr:row>19</xdr:row>
      <xdr:rowOff>258569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8FE55312-17EF-40EF-BB86-7452A3263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5653533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20</xdr:row>
      <xdr:rowOff>6569</xdr:rowOff>
    </xdr:from>
    <xdr:to>
      <xdr:col>42</xdr:col>
      <xdr:colOff>646659</xdr:colOff>
      <xdr:row>20</xdr:row>
      <xdr:rowOff>258569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AB980290-5AF7-443B-8D5B-77E728B35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5925676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13</xdr:row>
      <xdr:rowOff>1314</xdr:rowOff>
    </xdr:from>
    <xdr:to>
      <xdr:col>42</xdr:col>
      <xdr:colOff>646659</xdr:colOff>
      <xdr:row>13</xdr:row>
      <xdr:rowOff>253314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61EEC05F-CC5C-4F06-B2AA-FD00F6B96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401542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396102</xdr:colOff>
      <xdr:row>24</xdr:row>
      <xdr:rowOff>7328</xdr:rowOff>
    </xdr:from>
    <xdr:to>
      <xdr:col>42</xdr:col>
      <xdr:colOff>645217</xdr:colOff>
      <xdr:row>24</xdr:row>
      <xdr:rowOff>256443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3DADA707-2E42-4D73-9E1C-3A274922F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5316" y="7015007"/>
          <a:ext cx="249115" cy="249115"/>
        </a:xfrm>
        <a:prstGeom prst="rect">
          <a:avLst/>
        </a:prstGeom>
      </xdr:spPr>
    </xdr:pic>
    <xdr:clientData/>
  </xdr:twoCellAnchor>
  <xdr:twoCellAnchor editAs="oneCell">
    <xdr:from>
      <xdr:col>42</xdr:col>
      <xdr:colOff>396101</xdr:colOff>
      <xdr:row>29</xdr:row>
      <xdr:rowOff>14655</xdr:rowOff>
    </xdr:from>
    <xdr:to>
      <xdr:col>42</xdr:col>
      <xdr:colOff>645217</xdr:colOff>
      <xdr:row>30</xdr:row>
      <xdr:rowOff>2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9D42CC35-9327-4D85-AC1B-A7C2FFB96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5315" y="8383048"/>
          <a:ext cx="249116" cy="25749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22</xdr:row>
      <xdr:rowOff>7327</xdr:rowOff>
    </xdr:from>
    <xdr:to>
      <xdr:col>42</xdr:col>
      <xdr:colOff>646659</xdr:colOff>
      <xdr:row>22</xdr:row>
      <xdr:rowOff>259327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F0D4B01F-216E-4A88-9405-488F51AAB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647072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23</xdr:row>
      <xdr:rowOff>9526</xdr:rowOff>
    </xdr:from>
    <xdr:to>
      <xdr:col>42</xdr:col>
      <xdr:colOff>646659</xdr:colOff>
      <xdr:row>23</xdr:row>
      <xdr:rowOff>264155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715B427-74CD-490E-88DE-21BE547C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6745062"/>
          <a:ext cx="252000" cy="254629"/>
        </a:xfrm>
        <a:prstGeom prst="rect">
          <a:avLst/>
        </a:prstGeom>
      </xdr:spPr>
    </xdr:pic>
    <xdr:clientData/>
  </xdr:twoCellAnchor>
  <xdr:twoCellAnchor editAs="oneCell">
    <xdr:from>
      <xdr:col>42</xdr:col>
      <xdr:colOff>393417</xdr:colOff>
      <xdr:row>25</xdr:row>
      <xdr:rowOff>11906</xdr:rowOff>
    </xdr:from>
    <xdr:to>
      <xdr:col>42</xdr:col>
      <xdr:colOff>647901</xdr:colOff>
      <xdr:row>25</xdr:row>
      <xdr:rowOff>263906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BFD800D7-DBFC-4C89-B63A-AA86D04C6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2631" y="7291727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26</xdr:row>
      <xdr:rowOff>5953</xdr:rowOff>
    </xdr:from>
    <xdr:to>
      <xdr:col>42</xdr:col>
      <xdr:colOff>646659</xdr:colOff>
      <xdr:row>26</xdr:row>
      <xdr:rowOff>257953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B76BF129-D4D9-4B2F-A537-36D16BCB1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755791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394659</xdr:colOff>
      <xdr:row>27</xdr:row>
      <xdr:rowOff>11905</xdr:rowOff>
    </xdr:from>
    <xdr:to>
      <xdr:col>42</xdr:col>
      <xdr:colOff>646659</xdr:colOff>
      <xdr:row>27</xdr:row>
      <xdr:rowOff>263905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BE390F2A-B1A2-4194-AC57-30FE728E9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3873" y="7836012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5</xdr:row>
      <xdr:rowOff>19050</xdr:rowOff>
    </xdr:from>
    <xdr:to>
      <xdr:col>28</xdr:col>
      <xdr:colOff>0</xdr:colOff>
      <xdr:row>19</xdr:row>
      <xdr:rowOff>95250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2B77E6A-5018-4BDD-9DA1-158065A09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47625</xdr:rowOff>
        </xdr:from>
        <xdr:to>
          <xdr:col>11</xdr:col>
          <xdr:colOff>304800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F5 &gt; 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B71"/>
  <sheetViews>
    <sheetView tabSelected="1" zoomScale="115" zoomScaleNormal="115" workbookViewId="0">
      <pane xSplit="2" ySplit="2" topLeftCell="AI20" activePane="bottomRight" state="frozen"/>
      <selection pane="topRight" activeCell="C1" sqref="C1"/>
      <selection pane="bottomLeft" activeCell="A3" sqref="A3"/>
      <selection pane="bottomRight" activeCell="A31" sqref="A31"/>
    </sheetView>
  </sheetViews>
  <sheetFormatPr defaultRowHeight="15" x14ac:dyDescent="0.25"/>
  <cols>
    <col min="1" max="1" width="15.5703125" customWidth="1"/>
    <col min="2" max="2" width="6" customWidth="1"/>
    <col min="3" max="4" width="5.7109375" bestFit="1" customWidth="1"/>
    <col min="5" max="5" width="9.85546875" customWidth="1"/>
    <col min="6" max="6" width="7.140625" bestFit="1" customWidth="1"/>
    <col min="7" max="7" width="8.7109375" bestFit="1" customWidth="1"/>
    <col min="8" max="8" width="9.28515625" bestFit="1" customWidth="1"/>
    <col min="9" max="9" width="9.28515625" customWidth="1"/>
    <col min="10" max="10" width="9.85546875" bestFit="1" customWidth="1"/>
    <col min="11" max="11" width="11" customWidth="1"/>
    <col min="12" max="12" width="7.140625" bestFit="1" customWidth="1"/>
    <col min="13" max="13" width="9.5703125" bestFit="1" customWidth="1"/>
    <col min="14" max="14" width="9.42578125" bestFit="1" customWidth="1"/>
    <col min="15" max="15" width="10.7109375" customWidth="1"/>
    <col min="16" max="16" width="10.42578125" bestFit="1" customWidth="1"/>
    <col min="17" max="17" width="11.5703125" bestFit="1" customWidth="1"/>
    <col min="18" max="18" width="7.140625" bestFit="1" customWidth="1"/>
    <col min="19" max="23" width="10.85546875" customWidth="1"/>
    <col min="24" max="24" width="9.7109375" customWidth="1"/>
    <col min="25" max="25" width="13.140625" customWidth="1"/>
    <col min="26" max="26" width="9.7109375" customWidth="1"/>
    <col min="27" max="27" width="4.5703125" customWidth="1"/>
    <col min="28" max="28" width="3.85546875" bestFit="1" customWidth="1"/>
    <col min="29" max="29" width="11.85546875" bestFit="1" customWidth="1"/>
    <col min="30" max="30" width="12.7109375" bestFit="1" customWidth="1"/>
    <col min="31" max="31" width="12.28515625" bestFit="1" customWidth="1"/>
    <col min="32" max="32" width="10.85546875" bestFit="1" customWidth="1"/>
    <col min="33" max="33" width="10.85546875" customWidth="1"/>
    <col min="35" max="35" width="11.42578125" bestFit="1" customWidth="1"/>
    <col min="36" max="36" width="12" bestFit="1" customWidth="1"/>
    <col min="39" max="39" width="9.140625" customWidth="1"/>
    <col min="40" max="40" width="14.7109375" bestFit="1" customWidth="1"/>
    <col min="41" max="41" width="14.5703125" bestFit="1" customWidth="1"/>
    <col min="42" max="42" width="14.5703125" customWidth="1"/>
    <col min="43" max="43" width="16" customWidth="1"/>
    <col min="44" max="44" width="10.140625" customWidth="1"/>
    <col min="45" max="46" width="8.28515625" customWidth="1"/>
    <col min="49" max="53" width="9.140625" customWidth="1"/>
  </cols>
  <sheetData>
    <row r="1" spans="1:54" ht="16.5" thickBot="1" x14ac:dyDescent="0.3">
      <c r="A1" s="338" t="s">
        <v>9</v>
      </c>
      <c r="B1" s="338" t="s">
        <v>16</v>
      </c>
      <c r="C1" s="342" t="s">
        <v>37</v>
      </c>
      <c r="D1" s="343"/>
      <c r="E1" s="343"/>
      <c r="F1" s="344"/>
      <c r="G1" s="342" t="s">
        <v>10</v>
      </c>
      <c r="H1" s="343"/>
      <c r="I1" s="343"/>
      <c r="J1" s="343"/>
      <c r="K1" s="343"/>
      <c r="L1" s="344"/>
      <c r="M1" s="342" t="s">
        <v>11</v>
      </c>
      <c r="N1" s="343"/>
      <c r="O1" s="343"/>
      <c r="P1" s="343"/>
      <c r="Q1" s="343"/>
      <c r="R1" s="344"/>
      <c r="S1" s="343" t="s">
        <v>40</v>
      </c>
      <c r="T1" s="343"/>
      <c r="U1" s="343"/>
      <c r="V1" s="343"/>
      <c r="W1" s="343"/>
      <c r="X1" s="343"/>
      <c r="Y1" s="343"/>
      <c r="Z1" s="344"/>
      <c r="AA1" s="342" t="s">
        <v>88</v>
      </c>
      <c r="AB1" s="343"/>
      <c r="AC1" s="343"/>
      <c r="AD1" s="343"/>
      <c r="AE1" s="344"/>
      <c r="AF1" s="345" t="s">
        <v>242</v>
      </c>
      <c r="AG1" s="345"/>
      <c r="AH1" s="346"/>
      <c r="AI1" s="346"/>
      <c r="AJ1" s="346"/>
      <c r="AK1" s="346"/>
      <c r="AL1" s="347"/>
      <c r="AM1" s="347"/>
      <c r="AN1" s="348" t="s">
        <v>41</v>
      </c>
      <c r="AO1" s="350" t="s">
        <v>42</v>
      </c>
      <c r="AP1" s="351"/>
      <c r="AQ1" s="340" t="s">
        <v>36</v>
      </c>
      <c r="AR1" s="341"/>
      <c r="AS1" s="341"/>
      <c r="AT1" s="341"/>
      <c r="AU1" s="341"/>
      <c r="AV1" s="341"/>
      <c r="AW1" s="341"/>
      <c r="AX1" s="341"/>
      <c r="AY1" s="341"/>
      <c r="AZ1" s="341"/>
      <c r="BA1" s="341"/>
      <c r="BB1" s="341"/>
    </row>
    <row r="2" spans="1:54" s="247" customFormat="1" ht="32.25" thickBot="1" x14ac:dyDescent="0.3">
      <c r="A2" s="339"/>
      <c r="B2" s="339"/>
      <c r="C2" s="16" t="s">
        <v>33</v>
      </c>
      <c r="D2" s="16" t="s">
        <v>34</v>
      </c>
      <c r="E2" s="295" t="s">
        <v>236</v>
      </c>
      <c r="F2" s="24" t="s">
        <v>35</v>
      </c>
      <c r="G2" s="49" t="s">
        <v>166</v>
      </c>
      <c r="H2" s="49" t="s">
        <v>167</v>
      </c>
      <c r="I2" s="49" t="s">
        <v>170</v>
      </c>
      <c r="J2" s="49" t="s">
        <v>168</v>
      </c>
      <c r="K2" s="295" t="s">
        <v>169</v>
      </c>
      <c r="L2" s="24" t="s">
        <v>35</v>
      </c>
      <c r="M2" s="17" t="s">
        <v>163</v>
      </c>
      <c r="N2" s="16" t="s">
        <v>164</v>
      </c>
      <c r="O2" s="49" t="s">
        <v>237</v>
      </c>
      <c r="P2" s="17" t="s">
        <v>165</v>
      </c>
      <c r="Q2" s="17" t="s">
        <v>238</v>
      </c>
      <c r="R2" s="24" t="s">
        <v>35</v>
      </c>
      <c r="S2" s="17" t="s">
        <v>12</v>
      </c>
      <c r="T2" s="16" t="s">
        <v>13</v>
      </c>
      <c r="U2" s="17" t="s">
        <v>14</v>
      </c>
      <c r="V2" s="47" t="s">
        <v>32</v>
      </c>
      <c r="W2" s="253" t="s">
        <v>26</v>
      </c>
      <c r="X2" s="253" t="s">
        <v>45</v>
      </c>
      <c r="Y2" s="102" t="s">
        <v>87</v>
      </c>
      <c r="Z2" s="102" t="s">
        <v>57</v>
      </c>
      <c r="AA2" s="102" t="s">
        <v>240</v>
      </c>
      <c r="AB2" s="102" t="s">
        <v>60</v>
      </c>
      <c r="AC2" s="102" t="s">
        <v>82</v>
      </c>
      <c r="AD2" s="102" t="s">
        <v>81</v>
      </c>
      <c r="AE2" s="102" t="s">
        <v>80</v>
      </c>
      <c r="AF2" s="16" t="s">
        <v>100</v>
      </c>
      <c r="AG2" s="103" t="s">
        <v>26</v>
      </c>
      <c r="AH2" s="16" t="s">
        <v>27</v>
      </c>
      <c r="AI2" s="16" t="s">
        <v>28</v>
      </c>
      <c r="AJ2" s="16" t="s">
        <v>30</v>
      </c>
      <c r="AK2" s="16" t="s">
        <v>31</v>
      </c>
      <c r="AL2" s="16" t="s">
        <v>29</v>
      </c>
      <c r="AM2" s="16" t="s">
        <v>241</v>
      </c>
      <c r="AN2" s="349"/>
      <c r="AO2" s="46" t="s">
        <v>44</v>
      </c>
      <c r="AP2" s="46" t="s">
        <v>43</v>
      </c>
      <c r="AQ2" s="16" t="s">
        <v>38</v>
      </c>
      <c r="AR2" s="16"/>
      <c r="AS2" s="16"/>
      <c r="AT2" s="16"/>
      <c r="AU2" s="16"/>
      <c r="AV2" s="16"/>
      <c r="AW2" s="16"/>
      <c r="AX2" s="17"/>
      <c r="AY2" s="17"/>
      <c r="AZ2" s="17"/>
      <c r="BA2" s="17"/>
      <c r="BB2" s="28" t="s">
        <v>39</v>
      </c>
    </row>
    <row r="3" spans="1:54" s="248" customFormat="1" ht="30.75" thickBot="1" x14ac:dyDescent="0.3">
      <c r="A3" s="269" t="s">
        <v>188</v>
      </c>
      <c r="B3" s="270"/>
      <c r="C3" s="272">
        <f>SUM(C4:C12)</f>
        <v>127</v>
      </c>
      <c r="D3" s="271">
        <f t="shared" ref="D3:F3" si="0">SUM(D4:D12)</f>
        <v>30</v>
      </c>
      <c r="E3" s="309">
        <f t="shared" si="0"/>
        <v>24</v>
      </c>
      <c r="F3" s="294">
        <f t="shared" si="0"/>
        <v>181</v>
      </c>
      <c r="G3" s="272">
        <f t="shared" ref="G3" si="1">SUM(G4:G12)</f>
        <v>9</v>
      </c>
      <c r="H3" s="271">
        <f t="shared" ref="H3:I3" si="2">SUM(H4:H12)</f>
        <v>22</v>
      </c>
      <c r="I3" s="271">
        <f t="shared" si="2"/>
        <v>14</v>
      </c>
      <c r="J3" s="271">
        <f t="shared" ref="J3" si="3">SUM(J4:J12)</f>
        <v>60</v>
      </c>
      <c r="K3" s="309">
        <f t="shared" ref="K3:L3" si="4">SUM(K4:K12)</f>
        <v>97</v>
      </c>
      <c r="L3" s="294">
        <f t="shared" si="4"/>
        <v>202</v>
      </c>
      <c r="M3" s="310">
        <f t="shared" ref="M3" si="5">SUM(M4:M12)</f>
        <v>628</v>
      </c>
      <c r="N3" s="272">
        <f t="shared" ref="N3:Q3" si="6">SUM(N4:N12)</f>
        <v>252</v>
      </c>
      <c r="O3" s="272">
        <f t="shared" si="6"/>
        <v>0</v>
      </c>
      <c r="P3" s="272">
        <f t="shared" ref="P3" si="7">SUM(P4:P12)</f>
        <v>122</v>
      </c>
      <c r="Q3" s="272">
        <f t="shared" si="6"/>
        <v>19</v>
      </c>
      <c r="R3" s="294">
        <f t="shared" ref="R3" si="8">SUM(R4:R12)</f>
        <v>1021</v>
      </c>
      <c r="S3" s="272">
        <f t="shared" ref="S3:T3" si="9">SUM(S4:S12)</f>
        <v>100</v>
      </c>
      <c r="T3" s="272">
        <f t="shared" si="9"/>
        <v>71</v>
      </c>
      <c r="U3" s="309">
        <f t="shared" ref="U3" si="10">SUM(U4:U12)</f>
        <v>30</v>
      </c>
      <c r="V3" s="294">
        <f t="shared" ref="V3:W3" si="11">SUM(V4:V12)</f>
        <v>201</v>
      </c>
      <c r="W3" s="311">
        <f t="shared" si="11"/>
        <v>24</v>
      </c>
      <c r="X3" s="271">
        <f t="shared" ref="X3" si="12">SUM(X4:X12)</f>
        <v>61</v>
      </c>
      <c r="Y3" s="271">
        <f t="shared" ref="Y3:Z3" si="13">SUM(Y4:Y12)</f>
        <v>110</v>
      </c>
      <c r="Z3" s="311">
        <f t="shared" si="13"/>
        <v>16</v>
      </c>
      <c r="AA3" s="272">
        <f t="shared" ref="AA3" si="14">SUM(AA4:AA12)</f>
        <v>24</v>
      </c>
      <c r="AB3" s="271">
        <f t="shared" ref="AB3:AC3" si="15">SUM(AB4:AB12)</f>
        <v>2</v>
      </c>
      <c r="AC3" s="271">
        <f t="shared" si="15"/>
        <v>1608.65</v>
      </c>
      <c r="AD3" s="271">
        <f t="shared" ref="AD3" si="16">SUM(AD4:AD12)</f>
        <v>1740</v>
      </c>
      <c r="AE3" s="311">
        <f t="shared" ref="AE3:AF3" si="17">SUM(AE4:AE12)</f>
        <v>131.35000000000002</v>
      </c>
      <c r="AF3" s="272">
        <f t="shared" si="17"/>
        <v>1166</v>
      </c>
      <c r="AG3" s="271">
        <f>SUM(AG4:AG12)</f>
        <v>96</v>
      </c>
      <c r="AH3" s="271">
        <f t="shared" ref="AH3:AI3" si="18">SUM(AH4:AH12)</f>
        <v>171</v>
      </c>
      <c r="AI3" s="271">
        <f t="shared" si="18"/>
        <v>632</v>
      </c>
      <c r="AJ3" s="271">
        <f t="shared" ref="AJ3" si="19">SUM(AJ4:AJ12)</f>
        <v>527</v>
      </c>
      <c r="AK3" s="271">
        <f t="shared" ref="AK3:AM3" si="20">SUM(AK4:AK12)</f>
        <v>604</v>
      </c>
      <c r="AL3" s="271">
        <f t="shared" si="20"/>
        <v>524</v>
      </c>
      <c r="AM3" s="311">
        <f t="shared" si="20"/>
        <v>482</v>
      </c>
      <c r="AN3" s="274">
        <f t="shared" ref="AN3" si="21">SUM(AN4:AN12)</f>
        <v>486692536</v>
      </c>
      <c r="AO3" s="273">
        <f t="shared" ref="AO3:AP3" si="22">SUM(AO4:AO12)</f>
        <v>61809952.072000004</v>
      </c>
      <c r="AP3" s="274">
        <f t="shared" si="22"/>
        <v>19996189</v>
      </c>
      <c r="AQ3" s="272"/>
      <c r="AR3" s="275"/>
      <c r="AS3" s="275"/>
      <c r="AT3" s="275"/>
      <c r="AU3" s="275"/>
      <c r="AV3" s="275"/>
      <c r="AW3" s="275"/>
      <c r="AX3" s="276"/>
      <c r="AY3" s="276"/>
      <c r="AZ3" s="276"/>
      <c r="BA3" s="276"/>
      <c r="BB3" s="277"/>
    </row>
    <row r="4" spans="1:54" s="3" customFormat="1" ht="21" customHeight="1" x14ac:dyDescent="0.25">
      <c r="A4" s="232" t="s">
        <v>5</v>
      </c>
      <c r="B4" s="64" t="s">
        <v>17</v>
      </c>
      <c r="C4" s="15">
        <v>10</v>
      </c>
      <c r="D4" s="13">
        <v>5</v>
      </c>
      <c r="E4" s="18"/>
      <c r="F4" s="25">
        <f>SUM(C4:E4)</f>
        <v>15</v>
      </c>
      <c r="G4" s="15"/>
      <c r="H4" s="13"/>
      <c r="I4" s="13"/>
      <c r="J4" s="13"/>
      <c r="K4" s="18"/>
      <c r="L4" s="25">
        <f>SUM(G4:K4)</f>
        <v>0</v>
      </c>
      <c r="M4" s="250">
        <v>40</v>
      </c>
      <c r="N4" s="15">
        <v>25</v>
      </c>
      <c r="O4" s="18"/>
      <c r="P4" s="18"/>
      <c r="Q4" s="18"/>
      <c r="R4" s="25">
        <f>SUM(M4:Q4)</f>
        <v>65</v>
      </c>
      <c r="S4" s="15">
        <v>7</v>
      </c>
      <c r="T4" s="15">
        <v>7</v>
      </c>
      <c r="U4" s="18"/>
      <c r="V4" s="25">
        <f>SUM(S4:U4)</f>
        <v>14</v>
      </c>
      <c r="W4" s="296">
        <v>1</v>
      </c>
      <c r="X4" s="20">
        <f>Провиант!B3</f>
        <v>3</v>
      </c>
      <c r="Y4" s="13">
        <f>Провиант!C3</f>
        <v>3</v>
      </c>
      <c r="Z4" s="14">
        <f>Провиант!D3</f>
        <v>0</v>
      </c>
      <c r="AA4" s="15">
        <f>Энергия!B3</f>
        <v>1</v>
      </c>
      <c r="AB4" s="13">
        <f>Энергия!D3</f>
        <v>0</v>
      </c>
      <c r="AC4" s="13">
        <f>Энергия!W3</f>
        <v>103.05</v>
      </c>
      <c r="AD4" s="13">
        <f>Энергия!X3</f>
        <v>60</v>
      </c>
      <c r="AE4" s="14">
        <f>Энергия!Y3</f>
        <v>-43.05</v>
      </c>
      <c r="AF4" s="15">
        <f>(10+14+4+3)-W4*8</f>
        <v>23</v>
      </c>
      <c r="AG4" s="20">
        <f>W4*4</f>
        <v>4</v>
      </c>
      <c r="AH4" s="13">
        <f>11</f>
        <v>11</v>
      </c>
      <c r="AI4" s="13">
        <f>23</f>
        <v>23</v>
      </c>
      <c r="AJ4" s="13">
        <f>5</f>
        <v>5</v>
      </c>
      <c r="AK4" s="13" t="s">
        <v>15</v>
      </c>
      <c r="AL4" s="13">
        <f>70</f>
        <v>70</v>
      </c>
      <c r="AM4" s="13">
        <v>31</v>
      </c>
      <c r="AN4" s="290">
        <v>18846379</v>
      </c>
      <c r="AO4" s="249">
        <f>AN4*127/1000</f>
        <v>2393490.1329999999</v>
      </c>
      <c r="AP4" s="106">
        <f>X4*Провиант!$B$39+База!Y4*Провиант!$C$39</f>
        <v>946259.7</v>
      </c>
      <c r="AQ4" s="15"/>
      <c r="AR4" s="29"/>
      <c r="AS4" s="29"/>
      <c r="AT4" s="29">
        <v>0.05</v>
      </c>
      <c r="AU4" s="29">
        <v>0.15</v>
      </c>
      <c r="AV4" s="29">
        <v>0.12</v>
      </c>
      <c r="AW4" s="29">
        <v>0.23</v>
      </c>
      <c r="AX4" s="34">
        <v>0.08</v>
      </c>
      <c r="AY4" s="34">
        <v>0.32</v>
      </c>
      <c r="AZ4" s="34">
        <v>0.05</v>
      </c>
      <c r="BA4" s="34"/>
      <c r="BB4" s="30">
        <f t="shared" ref="BB4:BB42" si="23">1-SUM(AR4:BA4)</f>
        <v>0</v>
      </c>
    </row>
    <row r="5" spans="1:54" ht="21" customHeight="1" x14ac:dyDescent="0.25">
      <c r="A5" s="58" t="s">
        <v>0</v>
      </c>
      <c r="B5" s="233" t="s">
        <v>18</v>
      </c>
      <c r="C5" s="8">
        <v>19</v>
      </c>
      <c r="D5" s="1">
        <v>5</v>
      </c>
      <c r="E5" s="5">
        <v>4</v>
      </c>
      <c r="F5" s="26">
        <f t="shared" ref="F5:F12" si="24">SUM(C5:E5)</f>
        <v>28</v>
      </c>
      <c r="G5" s="8">
        <v>2</v>
      </c>
      <c r="H5" s="1">
        <v>4</v>
      </c>
      <c r="I5" s="1">
        <v>4</v>
      </c>
      <c r="J5" s="1">
        <v>15</v>
      </c>
      <c r="K5" s="5">
        <v>20</v>
      </c>
      <c r="L5" s="25">
        <f t="shared" ref="L5:L27" si="25">SUM(G5:K5)</f>
        <v>45</v>
      </c>
      <c r="M5" s="251">
        <v>94</v>
      </c>
      <c r="N5" s="8">
        <v>60</v>
      </c>
      <c r="O5" s="5"/>
      <c r="P5" s="5">
        <v>20</v>
      </c>
      <c r="Q5" s="5">
        <v>5</v>
      </c>
      <c r="R5" s="25">
        <f t="shared" ref="R5:R27" si="26">SUM(M5:Q5)</f>
        <v>179</v>
      </c>
      <c r="S5" s="8">
        <v>10</v>
      </c>
      <c r="T5" s="8">
        <v>13</v>
      </c>
      <c r="U5" s="5">
        <v>5</v>
      </c>
      <c r="V5" s="26">
        <f t="shared" ref="V5:V27" si="27">SUM(S5:U5)</f>
        <v>28</v>
      </c>
      <c r="W5" s="297">
        <v>4</v>
      </c>
      <c r="X5" s="21">
        <f>Провиант!B4</f>
        <v>5</v>
      </c>
      <c r="Y5" s="1">
        <f>Провиант!C4</f>
        <v>10</v>
      </c>
      <c r="Z5" s="9">
        <f>Провиант!D4</f>
        <v>0</v>
      </c>
      <c r="AA5" s="8">
        <f>Энергия!B4</f>
        <v>3</v>
      </c>
      <c r="AB5" s="1">
        <f>Энергия!D4</f>
        <v>0</v>
      </c>
      <c r="AC5" s="1">
        <f>Энергия!W4</f>
        <v>233.95</v>
      </c>
      <c r="AD5" s="1">
        <f>Энергия!X4</f>
        <v>180</v>
      </c>
      <c r="AE5" s="9">
        <f>Энергия!Y4</f>
        <v>-53.949999999999989</v>
      </c>
      <c r="AF5" s="8">
        <f>(172+30+27)-W5*8</f>
        <v>197</v>
      </c>
      <c r="AG5" s="119">
        <f t="shared" ref="AG5:AG12" si="28">W5*4</f>
        <v>16</v>
      </c>
      <c r="AH5" s="1">
        <f>12+16</f>
        <v>28</v>
      </c>
      <c r="AI5" s="1">
        <f>16</f>
        <v>16</v>
      </c>
      <c r="AJ5" s="1">
        <f>92</f>
        <v>92</v>
      </c>
      <c r="AK5" s="1" t="s">
        <v>15</v>
      </c>
      <c r="AL5" s="1">
        <f>5</f>
        <v>5</v>
      </c>
      <c r="AM5" s="1">
        <v>54</v>
      </c>
      <c r="AN5" s="42">
        <v>75685389</v>
      </c>
      <c r="AO5" s="75">
        <f t="shared" ref="AO5:AO12" si="29">AN5*127/1000</f>
        <v>9612044.4030000009</v>
      </c>
      <c r="AP5" s="80">
        <f>X5*Провиант!$B$39+База!Y5*Провиант!$C$39</f>
        <v>1654199</v>
      </c>
      <c r="AQ5" s="8"/>
      <c r="AR5" s="31">
        <v>0.39</v>
      </c>
      <c r="AS5" s="31">
        <v>0.22</v>
      </c>
      <c r="AT5" s="31">
        <v>0.2</v>
      </c>
      <c r="AU5" s="31">
        <v>0.1</v>
      </c>
      <c r="AV5" s="31">
        <v>0.03</v>
      </c>
      <c r="AW5" s="31">
        <v>0.06</v>
      </c>
      <c r="AX5" s="35"/>
      <c r="AY5" s="35"/>
      <c r="AZ5" s="35"/>
      <c r="BA5" s="35"/>
      <c r="BB5" s="30">
        <f t="shared" si="23"/>
        <v>0</v>
      </c>
    </row>
    <row r="6" spans="1:54" s="3" customFormat="1" ht="21" customHeight="1" x14ac:dyDescent="0.25">
      <c r="A6" s="59" t="s">
        <v>4</v>
      </c>
      <c r="B6" s="234" t="s">
        <v>19</v>
      </c>
      <c r="C6" s="6">
        <v>6</v>
      </c>
      <c r="D6" s="2">
        <v>2</v>
      </c>
      <c r="E6" s="4">
        <v>2</v>
      </c>
      <c r="F6" s="25">
        <f t="shared" si="24"/>
        <v>10</v>
      </c>
      <c r="G6" s="6">
        <v>4</v>
      </c>
      <c r="H6" s="2">
        <v>6</v>
      </c>
      <c r="I6" s="2">
        <v>10</v>
      </c>
      <c r="J6" s="2">
        <v>4</v>
      </c>
      <c r="K6" s="4">
        <v>24</v>
      </c>
      <c r="L6" s="25">
        <f t="shared" si="25"/>
        <v>48</v>
      </c>
      <c r="M6" s="252">
        <v>114</v>
      </c>
      <c r="N6" s="6">
        <v>36</v>
      </c>
      <c r="O6" s="4"/>
      <c r="P6" s="4">
        <v>52</v>
      </c>
      <c r="Q6" s="4">
        <v>4</v>
      </c>
      <c r="R6" s="25">
        <f t="shared" si="26"/>
        <v>206</v>
      </c>
      <c r="S6" s="6">
        <v>15</v>
      </c>
      <c r="T6" s="6">
        <v>7</v>
      </c>
      <c r="U6" s="4">
        <v>12</v>
      </c>
      <c r="V6" s="25">
        <f t="shared" si="27"/>
        <v>34</v>
      </c>
      <c r="W6" s="298">
        <v>5</v>
      </c>
      <c r="X6" s="22">
        <f>Провиант!B5</f>
        <v>8</v>
      </c>
      <c r="Y6" s="2">
        <f>Провиант!C5</f>
        <v>8</v>
      </c>
      <c r="Z6" s="7">
        <f>Провиант!D5</f>
        <v>2</v>
      </c>
      <c r="AA6" s="6">
        <f>Энергия!B5</f>
        <v>3</v>
      </c>
      <c r="AB6" s="2">
        <f>Энергия!D5</f>
        <v>1</v>
      </c>
      <c r="AC6" s="2">
        <f>Энергия!W5</f>
        <v>273.39999999999998</v>
      </c>
      <c r="AD6" s="2">
        <f>Энергия!X5</f>
        <v>330</v>
      </c>
      <c r="AE6" s="7">
        <f>Энергия!Y5</f>
        <v>56.600000000000023</v>
      </c>
      <c r="AF6" s="6">
        <f>20+203+108-5-W6*8</f>
        <v>286</v>
      </c>
      <c r="AG6" s="20">
        <f t="shared" si="28"/>
        <v>20</v>
      </c>
      <c r="AH6" s="2">
        <f>40</f>
        <v>40</v>
      </c>
      <c r="AI6" s="2">
        <f>189</f>
        <v>189</v>
      </c>
      <c r="AJ6" s="2">
        <f>15+28+39</f>
        <v>82</v>
      </c>
      <c r="AK6" s="2">
        <f>342+150</f>
        <v>492</v>
      </c>
      <c r="AL6" s="2">
        <f>12+320</f>
        <v>332</v>
      </c>
      <c r="AM6" s="13">
        <v>144</v>
      </c>
      <c r="AN6" s="40">
        <v>65982200</v>
      </c>
      <c r="AO6" s="77">
        <f t="shared" si="29"/>
        <v>8379739.4000000004</v>
      </c>
      <c r="AP6" s="76">
        <f>X6*Провиант!$B$39+База!Y6*Провиант!$C$39</f>
        <v>2523359.2000000002</v>
      </c>
      <c r="AQ6" s="6"/>
      <c r="AR6" s="32"/>
      <c r="AS6" s="32"/>
      <c r="AT6" s="32">
        <v>0.05</v>
      </c>
      <c r="AU6" s="32">
        <v>0.17</v>
      </c>
      <c r="AV6" s="32">
        <v>0.2</v>
      </c>
      <c r="AW6" s="32">
        <v>0.05</v>
      </c>
      <c r="AX6" s="36">
        <v>0.39</v>
      </c>
      <c r="AY6" s="36">
        <v>0.14000000000000001</v>
      </c>
      <c r="AZ6" s="36"/>
      <c r="BA6" s="36"/>
      <c r="BB6" s="30">
        <f t="shared" si="23"/>
        <v>0</v>
      </c>
    </row>
    <row r="7" spans="1:54" ht="21" customHeight="1" x14ac:dyDescent="0.25">
      <c r="A7" s="58" t="s">
        <v>1</v>
      </c>
      <c r="B7" s="233" t="s">
        <v>20</v>
      </c>
      <c r="C7" s="8">
        <v>22</v>
      </c>
      <c r="D7" s="1">
        <v>4</v>
      </c>
      <c r="E7" s="5"/>
      <c r="F7" s="26">
        <f t="shared" si="24"/>
        <v>26</v>
      </c>
      <c r="G7" s="8">
        <v>1</v>
      </c>
      <c r="H7" s="1">
        <v>4</v>
      </c>
      <c r="I7" s="1"/>
      <c r="J7" s="1">
        <v>15</v>
      </c>
      <c r="K7" s="5">
        <v>30</v>
      </c>
      <c r="L7" s="25">
        <f t="shared" si="25"/>
        <v>50</v>
      </c>
      <c r="M7" s="251">
        <v>48</v>
      </c>
      <c r="N7" s="8">
        <v>22</v>
      </c>
      <c r="O7" s="5"/>
      <c r="P7" s="5"/>
      <c r="Q7" s="5"/>
      <c r="R7" s="25">
        <f t="shared" si="26"/>
        <v>70</v>
      </c>
      <c r="S7" s="8">
        <v>12</v>
      </c>
      <c r="T7" s="8">
        <v>9</v>
      </c>
      <c r="U7" s="5">
        <v>3</v>
      </c>
      <c r="V7" s="26">
        <f t="shared" si="27"/>
        <v>24</v>
      </c>
      <c r="W7" s="297">
        <v>2</v>
      </c>
      <c r="X7" s="21">
        <f>Провиант!B6</f>
        <v>5</v>
      </c>
      <c r="Y7" s="1">
        <f>Провиант!C6</f>
        <v>20</v>
      </c>
      <c r="Z7" s="9">
        <f>Провиант!D6</f>
        <v>0</v>
      </c>
      <c r="AA7" s="8">
        <f>Энергия!B6</f>
        <v>3</v>
      </c>
      <c r="AB7" s="1">
        <f>Энергия!D6</f>
        <v>0</v>
      </c>
      <c r="AC7" s="1">
        <f>Энергия!W6</f>
        <v>190.25</v>
      </c>
      <c r="AD7" s="1">
        <f>Энергия!X6</f>
        <v>180</v>
      </c>
      <c r="AE7" s="9">
        <f>Энергия!Y6</f>
        <v>-10.25</v>
      </c>
      <c r="AF7" s="8">
        <f>70+19+10-W7*8</f>
        <v>83</v>
      </c>
      <c r="AG7" s="119">
        <f t="shared" si="28"/>
        <v>8</v>
      </c>
      <c r="AH7" s="1">
        <f>10+25</f>
        <v>35</v>
      </c>
      <c r="AI7" s="1">
        <f>24</f>
        <v>24</v>
      </c>
      <c r="AJ7" s="1">
        <f>50</f>
        <v>50</v>
      </c>
      <c r="AK7" s="1" t="s">
        <v>15</v>
      </c>
      <c r="AL7" s="1">
        <f>80</f>
        <v>80</v>
      </c>
      <c r="AM7" s="1">
        <v>75</v>
      </c>
      <c r="AN7" s="42">
        <f>119352255+3161910</f>
        <v>122514165</v>
      </c>
      <c r="AO7" s="75">
        <f t="shared" si="29"/>
        <v>15559298.955</v>
      </c>
      <c r="AP7" s="80">
        <f>X7*Провиант!$B$39+База!Y7*Провиант!$C$39</f>
        <v>1808398</v>
      </c>
      <c r="AQ7" s="8"/>
      <c r="AR7" s="31">
        <v>0.05</v>
      </c>
      <c r="AS7" s="31">
        <v>0.13</v>
      </c>
      <c r="AT7" s="31">
        <v>7.0000000000000007E-2</v>
      </c>
      <c r="AU7" s="31">
        <v>0.09</v>
      </c>
      <c r="AV7" s="31">
        <v>0.06</v>
      </c>
      <c r="AW7" s="31">
        <v>0.37</v>
      </c>
      <c r="AX7" s="35">
        <v>0.05</v>
      </c>
      <c r="AY7" s="35">
        <v>0.15</v>
      </c>
      <c r="AZ7" s="35">
        <v>0.03</v>
      </c>
      <c r="BA7" s="35"/>
      <c r="BB7" s="30">
        <f t="shared" si="23"/>
        <v>0</v>
      </c>
    </row>
    <row r="8" spans="1:54" s="3" customFormat="1" ht="30" x14ac:dyDescent="0.25">
      <c r="A8" s="59" t="s">
        <v>7</v>
      </c>
      <c r="B8" s="234" t="s">
        <v>21</v>
      </c>
      <c r="C8" s="6">
        <v>19</v>
      </c>
      <c r="D8" s="2">
        <v>4</v>
      </c>
      <c r="E8" s="4">
        <v>5</v>
      </c>
      <c r="F8" s="25">
        <f t="shared" si="24"/>
        <v>28</v>
      </c>
      <c r="G8" s="6">
        <v>2</v>
      </c>
      <c r="H8" s="2">
        <v>8</v>
      </c>
      <c r="I8" s="2"/>
      <c r="J8" s="2">
        <v>20</v>
      </c>
      <c r="K8" s="4">
        <v>15</v>
      </c>
      <c r="L8" s="25">
        <f t="shared" si="25"/>
        <v>45</v>
      </c>
      <c r="M8" s="252">
        <v>155</v>
      </c>
      <c r="N8" s="6">
        <v>51</v>
      </c>
      <c r="O8" s="4"/>
      <c r="P8" s="4">
        <v>38</v>
      </c>
      <c r="Q8" s="4">
        <v>10</v>
      </c>
      <c r="R8" s="25">
        <f t="shared" si="26"/>
        <v>254</v>
      </c>
      <c r="S8" s="6">
        <v>23</v>
      </c>
      <c r="T8" s="6">
        <v>12</v>
      </c>
      <c r="U8" s="4">
        <v>9</v>
      </c>
      <c r="V8" s="25">
        <f t="shared" si="27"/>
        <v>44</v>
      </c>
      <c r="W8" s="298">
        <v>5</v>
      </c>
      <c r="X8" s="22">
        <f>Провиант!B7</f>
        <v>10</v>
      </c>
      <c r="Y8" s="2">
        <f>Провиант!C7</f>
        <v>15</v>
      </c>
      <c r="Z8" s="7">
        <f>Провиант!D7</f>
        <v>5</v>
      </c>
      <c r="AA8" s="6">
        <f>Энергия!B7</f>
        <v>4</v>
      </c>
      <c r="AB8" s="2">
        <f>Энергия!D7</f>
        <v>1</v>
      </c>
      <c r="AC8" s="2">
        <f>Энергия!W7</f>
        <v>338.5</v>
      </c>
      <c r="AD8" s="2">
        <f>Энергия!X7</f>
        <v>390</v>
      </c>
      <c r="AE8" s="7">
        <f>Энергия!Y7</f>
        <v>51.5</v>
      </c>
      <c r="AF8" s="6">
        <f>21+50+209-W8*8</f>
        <v>240</v>
      </c>
      <c r="AG8" s="20">
        <f t="shared" si="28"/>
        <v>20</v>
      </c>
      <c r="AH8" s="2" t="s">
        <v>15</v>
      </c>
      <c r="AI8" s="2">
        <f>128</f>
        <v>128</v>
      </c>
      <c r="AJ8" s="2">
        <f>204+19</f>
        <v>223</v>
      </c>
      <c r="AK8" s="13" t="s">
        <v>15</v>
      </c>
      <c r="AL8" s="2">
        <f>7+5+12</f>
        <v>24</v>
      </c>
      <c r="AM8" s="13">
        <v>68</v>
      </c>
      <c r="AN8" s="40">
        <v>79419206</v>
      </c>
      <c r="AO8" s="77">
        <f t="shared" si="29"/>
        <v>10086239.162</v>
      </c>
      <c r="AP8" s="76">
        <f>X8*Провиант!$B$39+База!Y8*Провиант!$C$39</f>
        <v>3231298.5</v>
      </c>
      <c r="AQ8" s="6"/>
      <c r="AR8" s="32"/>
      <c r="AS8" s="32">
        <v>0.06</v>
      </c>
      <c r="AT8" s="32"/>
      <c r="AU8" s="32">
        <v>0.55000000000000004</v>
      </c>
      <c r="AV8" s="32">
        <v>0.15</v>
      </c>
      <c r="AW8" s="32">
        <v>0.21</v>
      </c>
      <c r="AX8" s="36"/>
      <c r="AY8" s="36">
        <v>0.03</v>
      </c>
      <c r="AZ8" s="36"/>
      <c r="BA8" s="36"/>
      <c r="BB8" s="30">
        <f t="shared" si="23"/>
        <v>0</v>
      </c>
    </row>
    <row r="9" spans="1:54" ht="21" customHeight="1" x14ac:dyDescent="0.25">
      <c r="A9" s="58" t="s">
        <v>2</v>
      </c>
      <c r="B9" s="233" t="s">
        <v>22</v>
      </c>
      <c r="C9" s="8">
        <v>24</v>
      </c>
      <c r="D9" s="1">
        <v>7</v>
      </c>
      <c r="E9" s="5">
        <v>13</v>
      </c>
      <c r="F9" s="26">
        <f t="shared" si="24"/>
        <v>44</v>
      </c>
      <c r="G9" s="8"/>
      <c r="H9" s="1"/>
      <c r="I9" s="1"/>
      <c r="J9" s="1"/>
      <c r="K9" s="5"/>
      <c r="L9" s="25">
        <f t="shared" si="25"/>
        <v>0</v>
      </c>
      <c r="M9" s="251">
        <v>74</v>
      </c>
      <c r="N9" s="8">
        <v>33</v>
      </c>
      <c r="O9" s="5"/>
      <c r="P9" s="5">
        <v>12</v>
      </c>
      <c r="Q9" s="5"/>
      <c r="R9" s="25">
        <f t="shared" si="26"/>
        <v>119</v>
      </c>
      <c r="S9" s="8">
        <v>20</v>
      </c>
      <c r="T9" s="8">
        <v>14</v>
      </c>
      <c r="U9" s="5"/>
      <c r="V9" s="26">
        <f>SUM(S9:U9)</f>
        <v>34</v>
      </c>
      <c r="W9" s="297">
        <v>6</v>
      </c>
      <c r="X9" s="21">
        <f>Провиант!B8</f>
        <v>8</v>
      </c>
      <c r="Y9" s="1">
        <f>Провиант!C8</f>
        <v>23</v>
      </c>
      <c r="Z9" s="9">
        <f>Провиант!D8</f>
        <v>3</v>
      </c>
      <c r="AA9" s="8">
        <f>Энергия!B8</f>
        <v>6</v>
      </c>
      <c r="AB9" s="1">
        <f>Энергия!D8</f>
        <v>0</v>
      </c>
      <c r="AC9" s="1">
        <f>Энергия!W8</f>
        <v>265.5</v>
      </c>
      <c r="AD9" s="1">
        <f>Энергия!X8</f>
        <v>360</v>
      </c>
      <c r="AE9" s="9">
        <f>Энергия!Y8</f>
        <v>94.5</v>
      </c>
      <c r="AF9" s="8">
        <f>50+125-W9*8</f>
        <v>127</v>
      </c>
      <c r="AG9" s="119">
        <f t="shared" si="28"/>
        <v>24</v>
      </c>
      <c r="AH9" s="1">
        <f>12+35</f>
        <v>47</v>
      </c>
      <c r="AI9" s="1">
        <f>19+44+77</f>
        <v>140</v>
      </c>
      <c r="AJ9" s="1">
        <f>44</f>
        <v>44</v>
      </c>
      <c r="AK9" s="1" t="s">
        <v>15</v>
      </c>
      <c r="AL9" s="1">
        <v>5</v>
      </c>
      <c r="AM9" s="1">
        <v>44</v>
      </c>
      <c r="AN9" s="42">
        <v>63388546</v>
      </c>
      <c r="AO9" s="75">
        <f t="shared" si="29"/>
        <v>8050345.3420000002</v>
      </c>
      <c r="AP9" s="80">
        <f>X9*Провиант!$B$39+База!Y9*Провиант!$C$39</f>
        <v>2754657.7</v>
      </c>
      <c r="AQ9" s="8"/>
      <c r="AR9" s="31"/>
      <c r="AS9" s="31">
        <v>0.19</v>
      </c>
      <c r="AT9" s="31">
        <v>0.04</v>
      </c>
      <c r="AU9" s="31">
        <v>0.06</v>
      </c>
      <c r="AV9" s="31">
        <v>0.44</v>
      </c>
      <c r="AW9" s="31">
        <v>0.15</v>
      </c>
      <c r="AX9" s="35"/>
      <c r="AY9" s="35">
        <v>0.12</v>
      </c>
      <c r="AZ9" s="35"/>
      <c r="BA9" s="35"/>
      <c r="BB9" s="30">
        <f t="shared" si="23"/>
        <v>0</v>
      </c>
    </row>
    <row r="10" spans="1:54" s="3" customFormat="1" ht="21" customHeight="1" x14ac:dyDescent="0.25">
      <c r="A10" s="59" t="s">
        <v>6</v>
      </c>
      <c r="B10" s="234" t="s">
        <v>23</v>
      </c>
      <c r="C10" s="6">
        <v>9</v>
      </c>
      <c r="D10" s="2">
        <v>3</v>
      </c>
      <c r="E10" s="4"/>
      <c r="F10" s="25">
        <f t="shared" si="24"/>
        <v>12</v>
      </c>
      <c r="G10" s="6"/>
      <c r="H10" s="2"/>
      <c r="I10" s="2"/>
      <c r="J10" s="2"/>
      <c r="K10" s="4"/>
      <c r="L10" s="25">
        <f t="shared" si="25"/>
        <v>0</v>
      </c>
      <c r="M10" s="252">
        <v>65</v>
      </c>
      <c r="N10" s="6">
        <v>15</v>
      </c>
      <c r="O10" s="4"/>
      <c r="P10" s="4"/>
      <c r="Q10" s="4"/>
      <c r="R10" s="25">
        <f t="shared" si="26"/>
        <v>80</v>
      </c>
      <c r="S10" s="6">
        <v>6</v>
      </c>
      <c r="T10" s="6">
        <v>6</v>
      </c>
      <c r="U10" s="4"/>
      <c r="V10" s="25">
        <f t="shared" si="27"/>
        <v>12</v>
      </c>
      <c r="W10" s="298">
        <v>1</v>
      </c>
      <c r="X10" s="22">
        <f>Провиант!B9</f>
        <v>4</v>
      </c>
      <c r="Y10" s="2">
        <f>Провиант!C9</f>
        <v>4</v>
      </c>
      <c r="Z10" s="7">
        <f>Провиант!D9</f>
        <v>0</v>
      </c>
      <c r="AA10" s="6">
        <f>Энергия!B9</f>
        <v>2</v>
      </c>
      <c r="AB10" s="2">
        <f>Энергия!D9</f>
        <v>0</v>
      </c>
      <c r="AC10" s="2">
        <f>Энергия!W9</f>
        <v>90.5</v>
      </c>
      <c r="AD10" s="2">
        <f>Энергия!X9</f>
        <v>120</v>
      </c>
      <c r="AE10" s="7">
        <f>Энергия!Y9</f>
        <v>29.5</v>
      </c>
      <c r="AF10" s="6">
        <f>30-W10*8</f>
        <v>22</v>
      </c>
      <c r="AG10" s="20">
        <f t="shared" si="28"/>
        <v>4</v>
      </c>
      <c r="AH10" s="2" t="s">
        <v>15</v>
      </c>
      <c r="AI10" s="2">
        <f>77</f>
        <v>77</v>
      </c>
      <c r="AJ10" s="2">
        <f>10+3</f>
        <v>13</v>
      </c>
      <c r="AK10" s="13" t="s">
        <v>15</v>
      </c>
      <c r="AL10" s="2">
        <v>8</v>
      </c>
      <c r="AM10" s="13">
        <v>22</v>
      </c>
      <c r="AN10" s="40">
        <v>22382937</v>
      </c>
      <c r="AO10" s="77">
        <f t="shared" si="29"/>
        <v>2842632.9989999998</v>
      </c>
      <c r="AP10" s="76">
        <f>X10*Провиант!$B$39+База!Y10*Провиант!$C$39</f>
        <v>1261679.6000000001</v>
      </c>
      <c r="AQ10" s="6"/>
      <c r="AR10" s="32"/>
      <c r="AS10" s="32">
        <v>0.03</v>
      </c>
      <c r="AT10" s="32">
        <v>0.06</v>
      </c>
      <c r="AU10" s="32">
        <v>0.15</v>
      </c>
      <c r="AV10" s="32">
        <v>0.11</v>
      </c>
      <c r="AW10" s="32">
        <v>0.03</v>
      </c>
      <c r="AX10" s="36">
        <v>0.46</v>
      </c>
      <c r="AY10" s="36">
        <v>0.16</v>
      </c>
      <c r="AZ10" s="36"/>
      <c r="BA10" s="36"/>
      <c r="BB10" s="30">
        <f t="shared" si="23"/>
        <v>0</v>
      </c>
    </row>
    <row r="11" spans="1:54" ht="21" customHeight="1" x14ac:dyDescent="0.25">
      <c r="A11" s="58" t="s">
        <v>8</v>
      </c>
      <c r="B11" s="233" t="s">
        <v>24</v>
      </c>
      <c r="C11" s="8">
        <v>9</v>
      </c>
      <c r="D11" s="1"/>
      <c r="E11" s="5"/>
      <c r="F11" s="26">
        <f t="shared" si="24"/>
        <v>9</v>
      </c>
      <c r="G11" s="8"/>
      <c r="H11" s="1"/>
      <c r="I11" s="1"/>
      <c r="J11" s="1"/>
      <c r="K11" s="5"/>
      <c r="L11" s="25">
        <f t="shared" si="25"/>
        <v>0</v>
      </c>
      <c r="M11" s="251">
        <v>15</v>
      </c>
      <c r="N11" s="8">
        <v>10</v>
      </c>
      <c r="O11" s="5"/>
      <c r="P11" s="5"/>
      <c r="Q11" s="5"/>
      <c r="R11" s="25">
        <f t="shared" si="26"/>
        <v>25</v>
      </c>
      <c r="S11" s="8">
        <v>3</v>
      </c>
      <c r="T11" s="8">
        <v>2</v>
      </c>
      <c r="U11" s="5"/>
      <c r="V11" s="26">
        <f t="shared" si="27"/>
        <v>5</v>
      </c>
      <c r="W11" s="297"/>
      <c r="X11" s="21">
        <f>Провиант!B10</f>
        <v>3</v>
      </c>
      <c r="Y11" s="1">
        <f>Провиант!C10</f>
        <v>7</v>
      </c>
      <c r="Z11" s="9">
        <f>Провиант!D10</f>
        <v>1</v>
      </c>
      <c r="AA11" s="8">
        <f>Энергия!B10</f>
        <v>1</v>
      </c>
      <c r="AB11" s="1">
        <f>Энергия!D10</f>
        <v>0</v>
      </c>
      <c r="AC11" s="1">
        <f>Энергия!W10</f>
        <v>46.75</v>
      </c>
      <c r="AD11" s="1">
        <f>Энергия!X10</f>
        <v>60</v>
      </c>
      <c r="AE11" s="9">
        <f>Энергия!Y10</f>
        <v>13.25</v>
      </c>
      <c r="AF11" s="8">
        <v>83</v>
      </c>
      <c r="AG11" s="119">
        <f t="shared" si="28"/>
        <v>0</v>
      </c>
      <c r="AH11" s="1">
        <v>10</v>
      </c>
      <c r="AI11" s="1">
        <v>35</v>
      </c>
      <c r="AJ11" s="1" t="s">
        <v>15</v>
      </c>
      <c r="AK11" s="1">
        <v>112</v>
      </c>
      <c r="AL11" s="1" t="s">
        <v>15</v>
      </c>
      <c r="AM11" s="1">
        <v>19</v>
      </c>
      <c r="AN11" s="42">
        <v>20541063</v>
      </c>
      <c r="AO11" s="75">
        <f t="shared" si="29"/>
        <v>2608715.0010000002</v>
      </c>
      <c r="AP11" s="80">
        <f>X11*Провиант!$B$39+База!Y11*Провиант!$C$39</f>
        <v>1007939.3</v>
      </c>
      <c r="AQ11" s="8"/>
      <c r="AR11" s="31">
        <v>0.02</v>
      </c>
      <c r="AS11" s="31">
        <v>0.12</v>
      </c>
      <c r="AT11" s="31">
        <v>0.03</v>
      </c>
      <c r="AU11" s="31">
        <v>0.32</v>
      </c>
      <c r="AV11" s="31">
        <v>0.3</v>
      </c>
      <c r="AW11" s="31">
        <v>0.12</v>
      </c>
      <c r="AX11" s="35"/>
      <c r="AY11" s="35">
        <v>0.09</v>
      </c>
      <c r="AZ11" s="35"/>
      <c r="BA11" s="35"/>
      <c r="BB11" s="30">
        <f t="shared" si="23"/>
        <v>0</v>
      </c>
    </row>
    <row r="12" spans="1:54" s="3" customFormat="1" ht="21" customHeight="1" thickBot="1" x14ac:dyDescent="0.3">
      <c r="A12" s="254" t="s">
        <v>3</v>
      </c>
      <c r="B12" s="255" t="s">
        <v>25</v>
      </c>
      <c r="C12" s="260">
        <v>9</v>
      </c>
      <c r="D12" s="257"/>
      <c r="E12" s="258"/>
      <c r="F12" s="259">
        <f t="shared" si="24"/>
        <v>9</v>
      </c>
      <c r="G12" s="260"/>
      <c r="H12" s="257"/>
      <c r="I12" s="257"/>
      <c r="J12" s="257">
        <v>6</v>
      </c>
      <c r="K12" s="258">
        <v>8</v>
      </c>
      <c r="L12" s="262">
        <f t="shared" si="25"/>
        <v>14</v>
      </c>
      <c r="M12" s="263">
        <v>23</v>
      </c>
      <c r="N12" s="260"/>
      <c r="O12" s="258"/>
      <c r="P12" s="258"/>
      <c r="Q12" s="258"/>
      <c r="R12" s="259">
        <f t="shared" si="26"/>
        <v>23</v>
      </c>
      <c r="S12" s="260">
        <v>4</v>
      </c>
      <c r="T12" s="260">
        <v>1</v>
      </c>
      <c r="U12" s="258">
        <v>1</v>
      </c>
      <c r="V12" s="259">
        <f t="shared" si="27"/>
        <v>6</v>
      </c>
      <c r="W12" s="299"/>
      <c r="X12" s="256">
        <f>Провиант!B11</f>
        <v>15</v>
      </c>
      <c r="Y12" s="257">
        <f>Провиант!C11</f>
        <v>20</v>
      </c>
      <c r="Z12" s="261">
        <f>Провиант!D11</f>
        <v>5</v>
      </c>
      <c r="AA12" s="260">
        <f>Энергия!B11</f>
        <v>1</v>
      </c>
      <c r="AB12" s="257">
        <f>Энергия!D11</f>
        <v>0</v>
      </c>
      <c r="AC12" s="257">
        <f>Энергия!W11</f>
        <v>66.75</v>
      </c>
      <c r="AD12" s="257">
        <f>Энергия!X11</f>
        <v>60</v>
      </c>
      <c r="AE12" s="261">
        <f>Энергия!Y11</f>
        <v>-6.75</v>
      </c>
      <c r="AF12" s="260">
        <v>105</v>
      </c>
      <c r="AG12" s="256">
        <f t="shared" si="28"/>
        <v>0</v>
      </c>
      <c r="AH12" s="257" t="s">
        <v>15</v>
      </c>
      <c r="AI12" s="257" t="s">
        <v>15</v>
      </c>
      <c r="AJ12" s="257">
        <f>18</f>
        <v>18</v>
      </c>
      <c r="AK12" s="257" t="s">
        <v>15</v>
      </c>
      <c r="AL12" s="13" t="s">
        <v>15</v>
      </c>
      <c r="AM12" s="13">
        <v>25</v>
      </c>
      <c r="AN12" s="291">
        <v>17932651</v>
      </c>
      <c r="AO12" s="264">
        <f t="shared" si="29"/>
        <v>2277446.6770000001</v>
      </c>
      <c r="AP12" s="265">
        <f>X12*Провиант!$B$39+База!Y12*Провиант!$C$39</f>
        <v>4808398</v>
      </c>
      <c r="AQ12" s="260"/>
      <c r="AR12" s="266"/>
      <c r="AS12" s="266"/>
      <c r="AT12" s="266">
        <v>0.05</v>
      </c>
      <c r="AU12" s="266">
        <v>0.13</v>
      </c>
      <c r="AV12" s="266">
        <v>0.17</v>
      </c>
      <c r="AW12" s="266">
        <v>0.18</v>
      </c>
      <c r="AX12" s="267">
        <v>0.32</v>
      </c>
      <c r="AY12" s="267">
        <v>0.15</v>
      </c>
      <c r="AZ12" s="267"/>
      <c r="BA12" s="267"/>
      <c r="BB12" s="268">
        <f t="shared" si="23"/>
        <v>0</v>
      </c>
    </row>
    <row r="13" spans="1:54" s="248" customFormat="1" ht="35.25" customHeight="1" thickBot="1" x14ac:dyDescent="0.3">
      <c r="A13" s="269" t="s">
        <v>189</v>
      </c>
      <c r="B13" s="270"/>
      <c r="C13" s="272">
        <f>SUM(C14:C21)</f>
        <v>102</v>
      </c>
      <c r="D13" s="287">
        <f t="shared" ref="D13:AP13" si="30">SUM(D14:D21)</f>
        <v>11</v>
      </c>
      <c r="E13" s="289">
        <f t="shared" si="30"/>
        <v>12</v>
      </c>
      <c r="F13" s="294">
        <f t="shared" si="30"/>
        <v>125</v>
      </c>
      <c r="G13" s="272">
        <f t="shared" si="30"/>
        <v>11</v>
      </c>
      <c r="H13" s="287">
        <f t="shared" si="30"/>
        <v>17</v>
      </c>
      <c r="I13" s="287">
        <f t="shared" si="30"/>
        <v>38</v>
      </c>
      <c r="J13" s="287">
        <f t="shared" si="30"/>
        <v>100</v>
      </c>
      <c r="K13" s="289">
        <f t="shared" si="30"/>
        <v>49</v>
      </c>
      <c r="L13" s="294">
        <f t="shared" si="30"/>
        <v>215</v>
      </c>
      <c r="M13" s="272">
        <f t="shared" si="30"/>
        <v>183</v>
      </c>
      <c r="N13" s="287">
        <f t="shared" si="30"/>
        <v>93</v>
      </c>
      <c r="O13" s="289">
        <f t="shared" si="30"/>
        <v>100</v>
      </c>
      <c r="P13" s="289">
        <f t="shared" ref="P13" si="31">SUM(P14:P21)</f>
        <v>50</v>
      </c>
      <c r="Q13" s="289">
        <f t="shared" si="30"/>
        <v>22</v>
      </c>
      <c r="R13" s="294">
        <f t="shared" si="30"/>
        <v>448</v>
      </c>
      <c r="S13" s="272">
        <f t="shared" si="30"/>
        <v>109</v>
      </c>
      <c r="T13" s="287">
        <f t="shared" si="30"/>
        <v>86</v>
      </c>
      <c r="U13" s="289">
        <f t="shared" si="30"/>
        <v>45</v>
      </c>
      <c r="V13" s="294">
        <f t="shared" si="30"/>
        <v>240</v>
      </c>
      <c r="W13" s="271">
        <f t="shared" si="30"/>
        <v>24</v>
      </c>
      <c r="X13" s="287">
        <f t="shared" si="30"/>
        <v>20</v>
      </c>
      <c r="Y13" s="287">
        <f t="shared" si="30"/>
        <v>93</v>
      </c>
      <c r="Z13" s="293">
        <f t="shared" si="30"/>
        <v>12</v>
      </c>
      <c r="AA13" s="272">
        <f t="shared" si="30"/>
        <v>19</v>
      </c>
      <c r="AB13" s="287">
        <f t="shared" si="30"/>
        <v>5</v>
      </c>
      <c r="AC13" s="287">
        <f t="shared" si="30"/>
        <v>1717.5</v>
      </c>
      <c r="AD13" s="287">
        <f t="shared" si="30"/>
        <v>1890</v>
      </c>
      <c r="AE13" s="293">
        <f t="shared" si="30"/>
        <v>172.5</v>
      </c>
      <c r="AF13" s="272">
        <f t="shared" si="30"/>
        <v>401</v>
      </c>
      <c r="AG13" s="287">
        <f>SUM(AG14:AG21)</f>
        <v>96</v>
      </c>
      <c r="AH13" s="287">
        <f t="shared" si="30"/>
        <v>57</v>
      </c>
      <c r="AI13" s="287">
        <f t="shared" si="30"/>
        <v>78</v>
      </c>
      <c r="AJ13" s="287">
        <f t="shared" si="30"/>
        <v>149</v>
      </c>
      <c r="AK13" s="287">
        <f t="shared" si="30"/>
        <v>0</v>
      </c>
      <c r="AL13" s="287">
        <f t="shared" si="30"/>
        <v>261</v>
      </c>
      <c r="AM13" s="293">
        <f t="shared" si="30"/>
        <v>503</v>
      </c>
      <c r="AN13" s="274">
        <f t="shared" si="30"/>
        <v>189194484</v>
      </c>
      <c r="AO13" s="273">
        <f t="shared" si="30"/>
        <v>24027699.468000002</v>
      </c>
      <c r="AP13" s="288">
        <f t="shared" si="30"/>
        <v>0</v>
      </c>
      <c r="AQ13" s="272"/>
      <c r="AR13" s="275"/>
      <c r="AS13" s="275"/>
      <c r="AT13" s="275"/>
      <c r="AU13" s="275"/>
      <c r="AV13" s="275"/>
      <c r="AW13" s="275"/>
      <c r="AX13" s="275"/>
      <c r="AY13" s="275"/>
      <c r="AZ13" s="275"/>
      <c r="BA13" s="276"/>
      <c r="BB13" s="277"/>
    </row>
    <row r="14" spans="1:54" s="3" customFormat="1" ht="21" customHeight="1" x14ac:dyDescent="0.25">
      <c r="A14" s="61" t="s">
        <v>190</v>
      </c>
      <c r="B14" s="62" t="s">
        <v>191</v>
      </c>
      <c r="C14" s="86">
        <v>11</v>
      </c>
      <c r="D14" s="87">
        <v>1</v>
      </c>
      <c r="E14" s="302">
        <v>2</v>
      </c>
      <c r="F14" s="334">
        <f>SUM(C14:E14)</f>
        <v>14</v>
      </c>
      <c r="G14" s="86">
        <v>1</v>
      </c>
      <c r="H14" s="87">
        <v>2</v>
      </c>
      <c r="I14" s="87">
        <v>5</v>
      </c>
      <c r="J14" s="87">
        <v>14</v>
      </c>
      <c r="K14" s="302">
        <v>6</v>
      </c>
      <c r="L14" s="334">
        <f t="shared" si="25"/>
        <v>28</v>
      </c>
      <c r="M14" s="86">
        <v>14</v>
      </c>
      <c r="N14" s="87">
        <v>8</v>
      </c>
      <c r="O14" s="302">
        <v>18</v>
      </c>
      <c r="P14" s="302">
        <v>4</v>
      </c>
      <c r="Q14" s="302">
        <v>2</v>
      </c>
      <c r="R14" s="334">
        <f t="shared" si="26"/>
        <v>46</v>
      </c>
      <c r="S14" s="86">
        <v>14</v>
      </c>
      <c r="T14" s="87">
        <v>8</v>
      </c>
      <c r="U14" s="302">
        <v>8</v>
      </c>
      <c r="V14" s="334">
        <f t="shared" si="27"/>
        <v>30</v>
      </c>
      <c r="W14" s="335">
        <v>2</v>
      </c>
      <c r="X14" s="303">
        <f>Провиант!B13</f>
        <v>2</v>
      </c>
      <c r="Y14" s="87">
        <f>Провиант!C13</f>
        <v>12</v>
      </c>
      <c r="Z14" s="304">
        <f>Провиант!D13</f>
        <v>1</v>
      </c>
      <c r="AA14" s="86">
        <f>Энергия!B14</f>
        <v>3</v>
      </c>
      <c r="AB14" s="87">
        <f>Энергия!D14</f>
        <v>0</v>
      </c>
      <c r="AC14" s="87">
        <f>Энергия!W14</f>
        <v>216.5</v>
      </c>
      <c r="AD14" s="87">
        <f>Энергия!X14</f>
        <v>180</v>
      </c>
      <c r="AE14" s="304">
        <f>Энергия!Y14</f>
        <v>-36.5</v>
      </c>
      <c r="AF14" s="86">
        <v>10</v>
      </c>
      <c r="AG14" s="87">
        <f>W14*4</f>
        <v>8</v>
      </c>
      <c r="AH14" s="87" t="s">
        <v>15</v>
      </c>
      <c r="AI14" s="87" t="s">
        <v>15</v>
      </c>
      <c r="AJ14" s="87">
        <v>8</v>
      </c>
      <c r="AK14" s="87" t="s">
        <v>15</v>
      </c>
      <c r="AL14" s="302">
        <v>185</v>
      </c>
      <c r="AM14" s="304">
        <v>26</v>
      </c>
      <c r="AN14" s="48">
        <v>22589740</v>
      </c>
      <c r="AO14" s="104">
        <f t="shared" ref="AO14:AO21" si="32">AN14*127/1000</f>
        <v>2868896.98</v>
      </c>
      <c r="AP14" s="105"/>
      <c r="AQ14" s="86"/>
      <c r="AR14" s="305">
        <v>0.02</v>
      </c>
      <c r="AS14" s="305">
        <v>0.01</v>
      </c>
      <c r="AT14" s="305">
        <v>0.02</v>
      </c>
      <c r="AU14" s="305">
        <v>0.65</v>
      </c>
      <c r="AV14" s="305">
        <v>0.18</v>
      </c>
      <c r="AW14" s="305">
        <v>0.04</v>
      </c>
      <c r="AX14" s="305">
        <v>0.01</v>
      </c>
      <c r="AY14" s="305">
        <v>0.05</v>
      </c>
      <c r="AZ14" s="305">
        <v>0.02</v>
      </c>
      <c r="BA14" s="306"/>
      <c r="BB14" s="307">
        <f>1-SUM(AR14:BA14)</f>
        <v>0</v>
      </c>
    </row>
    <row r="15" spans="1:54" ht="21" customHeight="1" x14ac:dyDescent="0.25">
      <c r="A15" s="58" t="s">
        <v>193</v>
      </c>
      <c r="B15" s="233" t="s">
        <v>192</v>
      </c>
      <c r="C15" s="8">
        <v>16</v>
      </c>
      <c r="D15" s="1">
        <v>2</v>
      </c>
      <c r="E15" s="5">
        <v>2</v>
      </c>
      <c r="F15" s="26">
        <f t="shared" ref="F15:F20" si="33">SUM(C15:E15)</f>
        <v>20</v>
      </c>
      <c r="G15" s="8">
        <v>3</v>
      </c>
      <c r="H15" s="1">
        <v>3</v>
      </c>
      <c r="I15" s="1">
        <v>7</v>
      </c>
      <c r="J15" s="1">
        <v>20</v>
      </c>
      <c r="K15" s="5">
        <v>10</v>
      </c>
      <c r="L15" s="25">
        <f t="shared" si="25"/>
        <v>43</v>
      </c>
      <c r="M15" s="8">
        <v>40</v>
      </c>
      <c r="N15" s="1">
        <v>18</v>
      </c>
      <c r="O15" s="5">
        <v>12</v>
      </c>
      <c r="P15" s="5">
        <v>10</v>
      </c>
      <c r="Q15" s="5">
        <v>5</v>
      </c>
      <c r="R15" s="25">
        <f t="shared" si="26"/>
        <v>85</v>
      </c>
      <c r="S15" s="8">
        <v>20</v>
      </c>
      <c r="T15" s="1">
        <v>18</v>
      </c>
      <c r="U15" s="5">
        <v>6</v>
      </c>
      <c r="V15" s="26">
        <f t="shared" si="27"/>
        <v>44</v>
      </c>
      <c r="W15" s="297">
        <v>3</v>
      </c>
      <c r="X15" s="21">
        <f>Провиант!B14</f>
        <v>5</v>
      </c>
      <c r="Y15" s="1">
        <f>Провиант!C14</f>
        <v>10</v>
      </c>
      <c r="Z15" s="9">
        <f>Провиант!D14</f>
        <v>1</v>
      </c>
      <c r="AA15" s="8">
        <f>Энергия!B15</f>
        <v>3</v>
      </c>
      <c r="AB15" s="1">
        <f>Энергия!D15</f>
        <v>1</v>
      </c>
      <c r="AC15" s="1">
        <f>Энергия!W15</f>
        <v>300.75</v>
      </c>
      <c r="AD15" s="1">
        <f>Энергия!X15</f>
        <v>330</v>
      </c>
      <c r="AE15" s="9">
        <f>Энергия!Y15</f>
        <v>29.25</v>
      </c>
      <c r="AF15" s="8">
        <v>52</v>
      </c>
      <c r="AG15" s="1">
        <f t="shared" ref="AG15:AG21" si="34">W15*4</f>
        <v>12</v>
      </c>
      <c r="AH15" s="1">
        <v>18</v>
      </c>
      <c r="AI15" s="1">
        <v>28</v>
      </c>
      <c r="AJ15" s="1">
        <v>24</v>
      </c>
      <c r="AK15" s="1" t="s">
        <v>15</v>
      </c>
      <c r="AL15" s="5">
        <v>12</v>
      </c>
      <c r="AM15" s="9">
        <v>63</v>
      </c>
      <c r="AN15" s="42">
        <v>32547121</v>
      </c>
      <c r="AO15" s="75">
        <f t="shared" si="32"/>
        <v>4133484.3670000001</v>
      </c>
      <c r="AP15" s="80"/>
      <c r="AQ15" s="8"/>
      <c r="AR15" s="31">
        <v>0.03</v>
      </c>
      <c r="AS15" s="31">
        <v>0.01</v>
      </c>
      <c r="AT15" s="31">
        <v>0.04</v>
      </c>
      <c r="AU15" s="31">
        <v>7.0000000000000007E-2</v>
      </c>
      <c r="AV15" s="31">
        <v>0.15</v>
      </c>
      <c r="AW15" s="31">
        <v>0.55000000000000004</v>
      </c>
      <c r="AX15" s="31">
        <v>0.05</v>
      </c>
      <c r="AY15" s="31">
        <v>0.09</v>
      </c>
      <c r="AZ15" s="31">
        <v>0.01</v>
      </c>
      <c r="BA15" s="35"/>
      <c r="BB15" s="268">
        <f t="shared" si="23"/>
        <v>0</v>
      </c>
    </row>
    <row r="16" spans="1:54" s="3" customFormat="1" ht="21" customHeight="1" x14ac:dyDescent="0.25">
      <c r="A16" s="59" t="s">
        <v>195</v>
      </c>
      <c r="B16" s="234" t="s">
        <v>194</v>
      </c>
      <c r="C16" s="6">
        <v>9</v>
      </c>
      <c r="D16" s="2"/>
      <c r="E16" s="4">
        <v>1</v>
      </c>
      <c r="F16" s="26">
        <f t="shared" si="33"/>
        <v>10</v>
      </c>
      <c r="G16" s="6"/>
      <c r="H16" s="2">
        <v>1</v>
      </c>
      <c r="I16" s="2">
        <v>3</v>
      </c>
      <c r="J16" s="2">
        <v>10</v>
      </c>
      <c r="K16" s="4">
        <v>3</v>
      </c>
      <c r="L16" s="25">
        <f t="shared" si="25"/>
        <v>17</v>
      </c>
      <c r="M16" s="6">
        <v>8</v>
      </c>
      <c r="N16" s="2">
        <v>4</v>
      </c>
      <c r="O16" s="4">
        <v>12</v>
      </c>
      <c r="P16" s="4">
        <v>2</v>
      </c>
      <c r="Q16" s="4">
        <v>2</v>
      </c>
      <c r="R16" s="25">
        <f t="shared" si="26"/>
        <v>28</v>
      </c>
      <c r="S16" s="6">
        <v>7</v>
      </c>
      <c r="T16" s="2">
        <v>4</v>
      </c>
      <c r="U16" s="4">
        <v>6</v>
      </c>
      <c r="V16" s="26">
        <f>SUM(S16:U16)</f>
        <v>17</v>
      </c>
      <c r="W16" s="296"/>
      <c r="X16" s="20">
        <f>Провиант!B15</f>
        <v>1</v>
      </c>
      <c r="Y16" s="13">
        <f>Провиант!C15</f>
        <v>4</v>
      </c>
      <c r="Z16" s="14">
        <f>Провиант!D15</f>
        <v>0</v>
      </c>
      <c r="AA16" s="6">
        <f>Энергия!B16</f>
        <v>1</v>
      </c>
      <c r="AB16" s="2">
        <f>Энергия!D16</f>
        <v>0</v>
      </c>
      <c r="AC16" s="2">
        <f>Энергия!W16</f>
        <v>114.25</v>
      </c>
      <c r="AD16" s="2">
        <f>Энергия!X16</f>
        <v>60</v>
      </c>
      <c r="AE16" s="7">
        <f>Энергия!Y16</f>
        <v>-54.25</v>
      </c>
      <c r="AF16" s="15">
        <v>8</v>
      </c>
      <c r="AG16" s="13">
        <f t="shared" si="34"/>
        <v>0</v>
      </c>
      <c r="AH16" s="13">
        <v>3</v>
      </c>
      <c r="AI16" s="13">
        <v>2</v>
      </c>
      <c r="AJ16" s="13">
        <v>3</v>
      </c>
      <c r="AK16" s="13" t="s">
        <v>15</v>
      </c>
      <c r="AL16" s="18">
        <v>8</v>
      </c>
      <c r="AM16" s="14">
        <v>18</v>
      </c>
      <c r="AN16" s="40">
        <v>5847962</v>
      </c>
      <c r="AO16" s="249">
        <f t="shared" si="32"/>
        <v>742691.174</v>
      </c>
      <c r="AP16" s="76"/>
      <c r="AQ16" s="6"/>
      <c r="AR16" s="32">
        <v>0.01</v>
      </c>
      <c r="AS16" s="32"/>
      <c r="AT16" s="32">
        <v>0.08</v>
      </c>
      <c r="AU16" s="32">
        <v>0.12</v>
      </c>
      <c r="AV16" s="32">
        <v>0.55000000000000004</v>
      </c>
      <c r="AW16" s="32">
        <v>0.08</v>
      </c>
      <c r="AX16" s="32">
        <v>0.1</v>
      </c>
      <c r="AY16" s="32">
        <v>0.05</v>
      </c>
      <c r="AZ16" s="32">
        <v>0.01</v>
      </c>
      <c r="BA16" s="36"/>
      <c r="BB16" s="268">
        <f t="shared" si="23"/>
        <v>0</v>
      </c>
    </row>
    <row r="17" spans="1:54" ht="21" customHeight="1" x14ac:dyDescent="0.25">
      <c r="A17" s="58" t="s">
        <v>196</v>
      </c>
      <c r="B17" s="233" t="s">
        <v>197</v>
      </c>
      <c r="C17" s="8">
        <v>7</v>
      </c>
      <c r="D17" s="1"/>
      <c r="E17" s="5">
        <v>1</v>
      </c>
      <c r="F17" s="26">
        <f t="shared" si="33"/>
        <v>8</v>
      </c>
      <c r="G17" s="8"/>
      <c r="H17" s="1"/>
      <c r="I17" s="1"/>
      <c r="J17" s="1"/>
      <c r="K17" s="5"/>
      <c r="L17" s="25">
        <f t="shared" si="25"/>
        <v>0</v>
      </c>
      <c r="M17" s="8">
        <v>6</v>
      </c>
      <c r="N17" s="1">
        <v>3</v>
      </c>
      <c r="O17" s="5"/>
      <c r="P17" s="5">
        <v>2</v>
      </c>
      <c r="Q17" s="5">
        <v>1</v>
      </c>
      <c r="R17" s="25">
        <f t="shared" si="26"/>
        <v>12</v>
      </c>
      <c r="S17" s="8">
        <v>6</v>
      </c>
      <c r="T17" s="1">
        <v>2</v>
      </c>
      <c r="U17" s="5"/>
      <c r="V17" s="26">
        <f t="shared" si="27"/>
        <v>8</v>
      </c>
      <c r="W17" s="297">
        <v>1</v>
      </c>
      <c r="X17" s="21">
        <f>Провиант!B16</f>
        <v>5</v>
      </c>
      <c r="Y17" s="1">
        <f>Провиант!C16</f>
        <v>4</v>
      </c>
      <c r="Z17" s="9">
        <f>Провиант!D16</f>
        <v>1</v>
      </c>
      <c r="AA17" s="8">
        <f>Энергия!B17</f>
        <v>1</v>
      </c>
      <c r="AB17" s="1">
        <f>Энергия!D17</f>
        <v>0</v>
      </c>
      <c r="AC17" s="1">
        <f>Энергия!W17</f>
        <v>60.75</v>
      </c>
      <c r="AD17" s="1">
        <f>Энергия!X17</f>
        <v>60</v>
      </c>
      <c r="AE17" s="9">
        <f>Энергия!Y17</f>
        <v>-0.75</v>
      </c>
      <c r="AF17" s="8">
        <v>6</v>
      </c>
      <c r="AG17" s="1">
        <f t="shared" si="34"/>
        <v>4</v>
      </c>
      <c r="AH17" s="1" t="s">
        <v>15</v>
      </c>
      <c r="AI17" s="1" t="s">
        <v>15</v>
      </c>
      <c r="AJ17" s="1" t="s">
        <v>15</v>
      </c>
      <c r="AK17" s="1" t="s">
        <v>15</v>
      </c>
      <c r="AL17" s="1" t="s">
        <v>15</v>
      </c>
      <c r="AM17" s="9">
        <v>12</v>
      </c>
      <c r="AN17" s="42">
        <v>7852365</v>
      </c>
      <c r="AO17" s="75">
        <f t="shared" si="32"/>
        <v>997250.35499999998</v>
      </c>
      <c r="AP17" s="80"/>
      <c r="AQ17" s="8"/>
      <c r="AR17" s="31">
        <v>0.01</v>
      </c>
      <c r="AS17" s="31"/>
      <c r="AT17" s="31">
        <v>0.1</v>
      </c>
      <c r="AU17" s="31">
        <v>0.05</v>
      </c>
      <c r="AV17" s="31">
        <v>0.65</v>
      </c>
      <c r="AW17" s="31">
        <v>0.1</v>
      </c>
      <c r="AX17" s="31">
        <v>0.06</v>
      </c>
      <c r="AY17" s="31">
        <v>0.02</v>
      </c>
      <c r="AZ17" s="31">
        <v>0.01</v>
      </c>
      <c r="BA17" s="35"/>
      <c r="BB17" s="268">
        <f t="shared" si="23"/>
        <v>0</v>
      </c>
    </row>
    <row r="18" spans="1:54" s="3" customFormat="1" ht="21" customHeight="1" x14ac:dyDescent="0.25">
      <c r="A18" s="59" t="s">
        <v>198</v>
      </c>
      <c r="B18" s="234" t="s">
        <v>199</v>
      </c>
      <c r="C18" s="6">
        <v>14</v>
      </c>
      <c r="D18" s="2">
        <v>2</v>
      </c>
      <c r="E18" s="4">
        <v>2</v>
      </c>
      <c r="F18" s="26">
        <f t="shared" si="33"/>
        <v>18</v>
      </c>
      <c r="G18" s="6">
        <v>4</v>
      </c>
      <c r="H18" s="2">
        <v>5</v>
      </c>
      <c r="I18" s="2">
        <v>10</v>
      </c>
      <c r="J18" s="2">
        <v>26</v>
      </c>
      <c r="K18" s="4">
        <v>12</v>
      </c>
      <c r="L18" s="25">
        <f t="shared" si="25"/>
        <v>57</v>
      </c>
      <c r="M18" s="6">
        <v>25</v>
      </c>
      <c r="N18" s="2">
        <v>10</v>
      </c>
      <c r="O18" s="4">
        <v>25</v>
      </c>
      <c r="P18" s="4">
        <v>6</v>
      </c>
      <c r="Q18" s="4">
        <v>3</v>
      </c>
      <c r="R18" s="25">
        <f t="shared" si="26"/>
        <v>69</v>
      </c>
      <c r="S18" s="6">
        <v>18</v>
      </c>
      <c r="T18" s="2">
        <v>14</v>
      </c>
      <c r="U18" s="4">
        <v>10</v>
      </c>
      <c r="V18" s="26">
        <f t="shared" si="27"/>
        <v>42</v>
      </c>
      <c r="W18" s="296">
        <v>4</v>
      </c>
      <c r="X18" s="20">
        <f>Провиант!B17</f>
        <v>2</v>
      </c>
      <c r="Y18" s="13">
        <f>Провиант!C17</f>
        <v>18</v>
      </c>
      <c r="Z18" s="14">
        <f>Провиант!D17</f>
        <v>2</v>
      </c>
      <c r="AA18" s="6">
        <f>Энергия!B18</f>
        <v>3</v>
      </c>
      <c r="AB18" s="2">
        <f>Энергия!D18</f>
        <v>1</v>
      </c>
      <c r="AC18" s="2">
        <f>Энергия!W18</f>
        <v>300.5</v>
      </c>
      <c r="AD18" s="2">
        <f>Энергия!X18</f>
        <v>330</v>
      </c>
      <c r="AE18" s="7">
        <f>Энергия!Y18</f>
        <v>29.5</v>
      </c>
      <c r="AF18" s="15">
        <v>28</v>
      </c>
      <c r="AG18" s="13">
        <f t="shared" si="34"/>
        <v>16</v>
      </c>
      <c r="AH18" s="13">
        <v>2</v>
      </c>
      <c r="AI18" s="13" t="s">
        <v>15</v>
      </c>
      <c r="AJ18" s="13">
        <v>42</v>
      </c>
      <c r="AK18" s="13" t="s">
        <v>15</v>
      </c>
      <c r="AL18" s="18">
        <v>10</v>
      </c>
      <c r="AM18" s="14">
        <v>30</v>
      </c>
      <c r="AN18" s="40">
        <v>36458698</v>
      </c>
      <c r="AO18" s="249">
        <f t="shared" si="32"/>
        <v>4630254.6459999997</v>
      </c>
      <c r="AP18" s="76"/>
      <c r="AQ18" s="6"/>
      <c r="AR18" s="32"/>
      <c r="AS18" s="32"/>
      <c r="AT18" s="32">
        <v>0.02</v>
      </c>
      <c r="AU18" s="32">
        <v>0.05</v>
      </c>
      <c r="AV18" s="32">
        <v>0.2</v>
      </c>
      <c r="AW18" s="32">
        <v>0.08</v>
      </c>
      <c r="AX18" s="32">
        <v>0.55000000000000004</v>
      </c>
      <c r="AY18" s="32">
        <v>0.08</v>
      </c>
      <c r="AZ18" s="32">
        <v>0.02</v>
      </c>
      <c r="BA18" s="36"/>
      <c r="BB18" s="268">
        <f t="shared" si="23"/>
        <v>0</v>
      </c>
    </row>
    <row r="19" spans="1:54" ht="21" customHeight="1" x14ac:dyDescent="0.25">
      <c r="A19" s="58" t="s">
        <v>200</v>
      </c>
      <c r="B19" s="233" t="s">
        <v>201</v>
      </c>
      <c r="C19" s="8">
        <v>21</v>
      </c>
      <c r="D19" s="1">
        <v>5</v>
      </c>
      <c r="E19" s="5">
        <v>3</v>
      </c>
      <c r="F19" s="26">
        <f t="shared" si="33"/>
        <v>29</v>
      </c>
      <c r="G19" s="8">
        <v>2</v>
      </c>
      <c r="H19" s="1">
        <v>3</v>
      </c>
      <c r="I19" s="1">
        <v>6</v>
      </c>
      <c r="J19" s="1">
        <v>14</v>
      </c>
      <c r="K19" s="5">
        <v>10</v>
      </c>
      <c r="L19" s="25">
        <f t="shared" si="25"/>
        <v>35</v>
      </c>
      <c r="M19" s="8">
        <v>60</v>
      </c>
      <c r="N19" s="1">
        <v>35</v>
      </c>
      <c r="O19" s="5">
        <v>15</v>
      </c>
      <c r="P19" s="5">
        <v>20</v>
      </c>
      <c r="Q19" s="5">
        <v>6</v>
      </c>
      <c r="R19" s="25">
        <f t="shared" si="26"/>
        <v>136</v>
      </c>
      <c r="S19" s="8">
        <v>22</v>
      </c>
      <c r="T19" s="1">
        <v>26</v>
      </c>
      <c r="U19" s="5">
        <v>7</v>
      </c>
      <c r="V19" s="26">
        <f t="shared" si="27"/>
        <v>55</v>
      </c>
      <c r="W19" s="297">
        <v>10</v>
      </c>
      <c r="X19" s="21">
        <f>Провиант!B18</f>
        <v>4</v>
      </c>
      <c r="Y19" s="1">
        <f>Провиант!C18</f>
        <v>25</v>
      </c>
      <c r="Z19" s="9">
        <f>Провиант!D18</f>
        <v>5</v>
      </c>
      <c r="AA19" s="8">
        <f>Энергия!B19</f>
        <v>5</v>
      </c>
      <c r="AB19" s="1">
        <f>Энергия!D19</f>
        <v>1</v>
      </c>
      <c r="AC19" s="1">
        <f>Энергия!W19</f>
        <v>416.5</v>
      </c>
      <c r="AD19" s="1">
        <f>Энергия!X19</f>
        <v>450</v>
      </c>
      <c r="AE19" s="9">
        <f>Энергия!Y19</f>
        <v>33.5</v>
      </c>
      <c r="AF19" s="8">
        <v>245</v>
      </c>
      <c r="AG19" s="1">
        <f t="shared" si="34"/>
        <v>40</v>
      </c>
      <c r="AH19" s="1">
        <v>22</v>
      </c>
      <c r="AI19" s="1">
        <v>32</v>
      </c>
      <c r="AJ19" s="1">
        <v>48</v>
      </c>
      <c r="AK19" s="1" t="s">
        <v>15</v>
      </c>
      <c r="AL19" s="5">
        <v>28</v>
      </c>
      <c r="AM19" s="9">
        <v>210</v>
      </c>
      <c r="AN19" s="42">
        <v>53756124</v>
      </c>
      <c r="AO19" s="75">
        <f t="shared" si="32"/>
        <v>6827027.7479999997</v>
      </c>
      <c r="AP19" s="80"/>
      <c r="AQ19" s="8"/>
      <c r="AR19" s="31">
        <v>0.02</v>
      </c>
      <c r="AS19" s="31">
        <v>0.01</v>
      </c>
      <c r="AT19" s="31">
        <v>0.03</v>
      </c>
      <c r="AU19" s="31">
        <v>0.08</v>
      </c>
      <c r="AV19" s="31">
        <v>0.18</v>
      </c>
      <c r="AW19" s="31">
        <v>0.5</v>
      </c>
      <c r="AX19" s="31">
        <v>0.1</v>
      </c>
      <c r="AY19" s="31">
        <v>7.0000000000000007E-2</v>
      </c>
      <c r="AZ19" s="31">
        <v>0.01</v>
      </c>
      <c r="BA19" s="31"/>
      <c r="BB19" s="268">
        <f t="shared" si="23"/>
        <v>0</v>
      </c>
    </row>
    <row r="20" spans="1:54" s="3" customFormat="1" ht="21" customHeight="1" x14ac:dyDescent="0.25">
      <c r="A20" s="59" t="s">
        <v>202</v>
      </c>
      <c r="B20" s="234" t="s">
        <v>204</v>
      </c>
      <c r="C20" s="6">
        <v>13</v>
      </c>
      <c r="D20" s="2">
        <v>1</v>
      </c>
      <c r="E20" s="4"/>
      <c r="F20" s="26">
        <f t="shared" si="33"/>
        <v>14</v>
      </c>
      <c r="G20" s="6">
        <v>1</v>
      </c>
      <c r="H20" s="2">
        <v>2</v>
      </c>
      <c r="I20" s="2">
        <v>4</v>
      </c>
      <c r="J20" s="2">
        <v>8</v>
      </c>
      <c r="K20" s="4">
        <v>4</v>
      </c>
      <c r="L20" s="25">
        <f t="shared" si="25"/>
        <v>19</v>
      </c>
      <c r="M20" s="6">
        <v>18</v>
      </c>
      <c r="N20" s="2">
        <v>10</v>
      </c>
      <c r="O20" s="4">
        <v>8</v>
      </c>
      <c r="P20" s="4">
        <v>4</v>
      </c>
      <c r="Q20" s="4">
        <v>2</v>
      </c>
      <c r="R20" s="25">
        <f t="shared" si="26"/>
        <v>42</v>
      </c>
      <c r="S20" s="6">
        <v>10</v>
      </c>
      <c r="T20" s="2">
        <v>8</v>
      </c>
      <c r="U20" s="4">
        <v>4</v>
      </c>
      <c r="V20" s="26">
        <f t="shared" si="27"/>
        <v>22</v>
      </c>
      <c r="W20" s="296">
        <v>3</v>
      </c>
      <c r="X20" s="20">
        <f>Провиант!B19</f>
        <v>0</v>
      </c>
      <c r="Y20" s="13">
        <f>Провиант!C19</f>
        <v>8</v>
      </c>
      <c r="Z20" s="14">
        <f>Провиант!D19</f>
        <v>0</v>
      </c>
      <c r="AA20" s="6">
        <f>Энергия!B20</f>
        <v>2</v>
      </c>
      <c r="AB20" s="2">
        <f>Энергия!D20</f>
        <v>1</v>
      </c>
      <c r="AC20" s="2">
        <f>Энергия!W20</f>
        <v>158.5</v>
      </c>
      <c r="AD20" s="2">
        <f>Энергия!X20</f>
        <v>270</v>
      </c>
      <c r="AE20" s="7">
        <f>Энергия!Y20</f>
        <v>111.5</v>
      </c>
      <c r="AF20" s="15">
        <v>40</v>
      </c>
      <c r="AG20" s="13">
        <f t="shared" si="34"/>
        <v>12</v>
      </c>
      <c r="AH20" s="13">
        <v>12</v>
      </c>
      <c r="AI20" s="13">
        <v>16</v>
      </c>
      <c r="AJ20" s="13">
        <v>10</v>
      </c>
      <c r="AK20" s="13" t="s">
        <v>15</v>
      </c>
      <c r="AL20" s="18">
        <v>6</v>
      </c>
      <c r="AM20" s="14">
        <v>110</v>
      </c>
      <c r="AN20" s="40">
        <v>13545891</v>
      </c>
      <c r="AO20" s="249">
        <f t="shared" si="32"/>
        <v>1720328.1569999999</v>
      </c>
      <c r="AP20" s="76"/>
      <c r="AQ20" s="6"/>
      <c r="AR20" s="32">
        <v>0.01</v>
      </c>
      <c r="AS20" s="32"/>
      <c r="AT20" s="32">
        <v>0.02</v>
      </c>
      <c r="AU20" s="32">
        <v>0.04</v>
      </c>
      <c r="AV20" s="32">
        <v>0.06</v>
      </c>
      <c r="AW20" s="32">
        <v>0.08</v>
      </c>
      <c r="AX20" s="32">
        <v>0.02</v>
      </c>
      <c r="AY20" s="32">
        <v>0.6</v>
      </c>
      <c r="AZ20" s="32">
        <v>0.17</v>
      </c>
      <c r="BA20" s="36"/>
      <c r="BB20" s="268">
        <f t="shared" si="23"/>
        <v>0</v>
      </c>
    </row>
    <row r="21" spans="1:54" ht="21" customHeight="1" thickBot="1" x14ac:dyDescent="0.3">
      <c r="A21" s="278" t="s">
        <v>203</v>
      </c>
      <c r="B21" s="279" t="s">
        <v>205</v>
      </c>
      <c r="C21" s="283">
        <v>11</v>
      </c>
      <c r="D21" s="281"/>
      <c r="E21" s="282">
        <v>1</v>
      </c>
      <c r="F21" s="27">
        <f t="shared" ref="F21" si="35">SUM(C21:E21)</f>
        <v>12</v>
      </c>
      <c r="G21" s="283"/>
      <c r="H21" s="281">
        <v>1</v>
      </c>
      <c r="I21" s="281">
        <v>3</v>
      </c>
      <c r="J21" s="281">
        <v>8</v>
      </c>
      <c r="K21" s="282">
        <v>4</v>
      </c>
      <c r="L21" s="308">
        <f t="shared" si="25"/>
        <v>16</v>
      </c>
      <c r="M21" s="283">
        <v>12</v>
      </c>
      <c r="N21" s="281">
        <v>5</v>
      </c>
      <c r="O21" s="282">
        <v>10</v>
      </c>
      <c r="P21" s="282">
        <v>2</v>
      </c>
      <c r="Q21" s="282">
        <v>1</v>
      </c>
      <c r="R21" s="308">
        <f t="shared" si="26"/>
        <v>30</v>
      </c>
      <c r="S21" s="283">
        <v>12</v>
      </c>
      <c r="T21" s="281">
        <v>6</v>
      </c>
      <c r="U21" s="282">
        <v>4</v>
      </c>
      <c r="V21" s="27">
        <f t="shared" si="27"/>
        <v>22</v>
      </c>
      <c r="W21" s="336">
        <v>1</v>
      </c>
      <c r="X21" s="280">
        <f>Провиант!B20</f>
        <v>1</v>
      </c>
      <c r="Y21" s="281">
        <f>Провиант!C20</f>
        <v>12</v>
      </c>
      <c r="Z21" s="284">
        <f>Провиант!D20</f>
        <v>2</v>
      </c>
      <c r="AA21" s="283">
        <f>Энергия!B21</f>
        <v>1</v>
      </c>
      <c r="AB21" s="281">
        <f>Энергия!D21</f>
        <v>1</v>
      </c>
      <c r="AC21" s="281">
        <f>Энергия!W21</f>
        <v>149.75</v>
      </c>
      <c r="AD21" s="281">
        <f>Энергия!X21</f>
        <v>210</v>
      </c>
      <c r="AE21" s="284">
        <f>Энергия!Y21</f>
        <v>60.25</v>
      </c>
      <c r="AF21" s="283">
        <v>12</v>
      </c>
      <c r="AG21" s="281">
        <f t="shared" si="34"/>
        <v>4</v>
      </c>
      <c r="AH21" s="281" t="s">
        <v>15</v>
      </c>
      <c r="AI21" s="281" t="s">
        <v>15</v>
      </c>
      <c r="AJ21" s="281">
        <v>14</v>
      </c>
      <c r="AK21" s="281" t="s">
        <v>15</v>
      </c>
      <c r="AL21" s="282">
        <v>12</v>
      </c>
      <c r="AM21" s="284">
        <v>34</v>
      </c>
      <c r="AN21" s="292">
        <v>16596583</v>
      </c>
      <c r="AO21" s="285">
        <f t="shared" si="32"/>
        <v>2107766.0410000002</v>
      </c>
      <c r="AP21" s="286"/>
      <c r="AQ21" s="283"/>
      <c r="AR21" s="300">
        <v>0.03</v>
      </c>
      <c r="AS21" s="300">
        <v>0.02</v>
      </c>
      <c r="AT21" s="300">
        <v>0.03</v>
      </c>
      <c r="AU21" s="300">
        <v>0.7</v>
      </c>
      <c r="AV21" s="300">
        <v>0.1</v>
      </c>
      <c r="AW21" s="300">
        <v>0.06</v>
      </c>
      <c r="AX21" s="300">
        <v>0.02</v>
      </c>
      <c r="AY21" s="300">
        <v>0.04</v>
      </c>
      <c r="AZ21" s="300"/>
      <c r="BA21" s="301"/>
      <c r="BB21" s="246">
        <f t="shared" si="23"/>
        <v>0</v>
      </c>
    </row>
    <row r="22" spans="1:54" s="248" customFormat="1" ht="21.75" customHeight="1" thickBot="1" x14ac:dyDescent="0.3">
      <c r="A22" s="269" t="s">
        <v>206</v>
      </c>
      <c r="B22" s="270"/>
      <c r="C22" s="272">
        <f>SUM(C23:C28)</f>
        <v>89</v>
      </c>
      <c r="D22" s="287">
        <f t="shared" ref="D22:AP22" si="36">SUM(D23:D28)</f>
        <v>1</v>
      </c>
      <c r="E22" s="289">
        <f t="shared" si="36"/>
        <v>13</v>
      </c>
      <c r="F22" s="294">
        <f t="shared" si="36"/>
        <v>103</v>
      </c>
      <c r="G22" s="272">
        <f t="shared" si="36"/>
        <v>3</v>
      </c>
      <c r="H22" s="287">
        <f t="shared" si="36"/>
        <v>7</v>
      </c>
      <c r="I22" s="287">
        <f t="shared" si="36"/>
        <v>20</v>
      </c>
      <c r="J22" s="287">
        <f t="shared" si="36"/>
        <v>51</v>
      </c>
      <c r="K22" s="289">
        <f t="shared" si="36"/>
        <v>25</v>
      </c>
      <c r="L22" s="294">
        <f t="shared" si="36"/>
        <v>106</v>
      </c>
      <c r="M22" s="272">
        <f t="shared" si="36"/>
        <v>104</v>
      </c>
      <c r="N22" s="287">
        <f t="shared" si="36"/>
        <v>35</v>
      </c>
      <c r="O22" s="289">
        <f t="shared" si="36"/>
        <v>51</v>
      </c>
      <c r="P22" s="289">
        <f t="shared" ref="P22" si="37">SUM(P23:P28)</f>
        <v>25</v>
      </c>
      <c r="Q22" s="289">
        <f t="shared" si="36"/>
        <v>13</v>
      </c>
      <c r="R22" s="294">
        <f t="shared" si="36"/>
        <v>228</v>
      </c>
      <c r="S22" s="272">
        <f t="shared" si="36"/>
        <v>47</v>
      </c>
      <c r="T22" s="287">
        <f t="shared" si="36"/>
        <v>14</v>
      </c>
      <c r="U22" s="289">
        <f t="shared" si="36"/>
        <v>22</v>
      </c>
      <c r="V22" s="294">
        <f t="shared" si="36"/>
        <v>83</v>
      </c>
      <c r="W22" s="271">
        <f t="shared" si="36"/>
        <v>16</v>
      </c>
      <c r="X22" s="287">
        <f t="shared" si="36"/>
        <v>0</v>
      </c>
      <c r="Y22" s="287">
        <f t="shared" si="36"/>
        <v>0</v>
      </c>
      <c r="Z22" s="293">
        <f t="shared" si="36"/>
        <v>0</v>
      </c>
      <c r="AA22" s="272">
        <f t="shared" si="36"/>
        <v>9</v>
      </c>
      <c r="AB22" s="287">
        <f t="shared" si="36"/>
        <v>1</v>
      </c>
      <c r="AC22" s="287">
        <f t="shared" si="36"/>
        <v>649</v>
      </c>
      <c r="AD22" s="287">
        <f t="shared" si="36"/>
        <v>690</v>
      </c>
      <c r="AE22" s="293">
        <f t="shared" si="36"/>
        <v>41</v>
      </c>
      <c r="AF22" s="272">
        <f t="shared" si="36"/>
        <v>168</v>
      </c>
      <c r="AG22" s="287">
        <f t="shared" si="36"/>
        <v>64</v>
      </c>
      <c r="AH22" s="287">
        <f t="shared" si="36"/>
        <v>60</v>
      </c>
      <c r="AI22" s="287">
        <f t="shared" si="36"/>
        <v>43</v>
      </c>
      <c r="AJ22" s="287">
        <f t="shared" si="36"/>
        <v>51</v>
      </c>
      <c r="AK22" s="287">
        <f t="shared" si="36"/>
        <v>0</v>
      </c>
      <c r="AL22" s="287">
        <f t="shared" si="36"/>
        <v>58</v>
      </c>
      <c r="AM22" s="293">
        <f t="shared" si="36"/>
        <v>230</v>
      </c>
      <c r="AN22" s="274">
        <f t="shared" si="36"/>
        <v>107726459</v>
      </c>
      <c r="AO22" s="273">
        <f t="shared" si="36"/>
        <v>0</v>
      </c>
      <c r="AP22" s="288">
        <f t="shared" si="36"/>
        <v>0</v>
      </c>
      <c r="AQ22" s="272"/>
      <c r="AR22" s="275"/>
      <c r="AS22" s="275"/>
      <c r="AT22" s="275"/>
      <c r="AU22" s="275"/>
      <c r="AV22" s="275"/>
      <c r="AW22" s="275"/>
      <c r="AX22" s="275"/>
      <c r="AY22" s="275"/>
      <c r="AZ22" s="275"/>
      <c r="BA22" s="276"/>
      <c r="BB22" s="277"/>
    </row>
    <row r="23" spans="1:54" s="3" customFormat="1" ht="21" customHeight="1" x14ac:dyDescent="0.25">
      <c r="A23" s="61" t="s">
        <v>207</v>
      </c>
      <c r="B23" s="62" t="s">
        <v>235</v>
      </c>
      <c r="C23" s="86">
        <v>13</v>
      </c>
      <c r="D23" s="87"/>
      <c r="E23" s="302">
        <v>2</v>
      </c>
      <c r="F23" s="334">
        <f>SUM(C23:E23)</f>
        <v>15</v>
      </c>
      <c r="G23" s="86">
        <v>1</v>
      </c>
      <c r="H23" s="87">
        <v>1</v>
      </c>
      <c r="I23" s="87">
        <v>4</v>
      </c>
      <c r="J23" s="87">
        <v>8</v>
      </c>
      <c r="K23" s="302">
        <v>4</v>
      </c>
      <c r="L23" s="334">
        <f t="shared" si="25"/>
        <v>18</v>
      </c>
      <c r="M23" s="86">
        <v>16</v>
      </c>
      <c r="N23" s="87">
        <v>5</v>
      </c>
      <c r="O23" s="302">
        <v>12</v>
      </c>
      <c r="P23" s="302">
        <v>3</v>
      </c>
      <c r="Q23" s="302">
        <v>2</v>
      </c>
      <c r="R23" s="334">
        <f t="shared" si="26"/>
        <v>38</v>
      </c>
      <c r="S23" s="86">
        <v>8</v>
      </c>
      <c r="T23" s="87">
        <v>2</v>
      </c>
      <c r="U23" s="302">
        <v>5</v>
      </c>
      <c r="V23" s="334">
        <f t="shared" si="27"/>
        <v>15</v>
      </c>
      <c r="W23" s="335">
        <v>2</v>
      </c>
      <c r="X23" s="303">
        <f>Провиант!B22</f>
        <v>0</v>
      </c>
      <c r="Y23" s="87">
        <f>Провиант!C22</f>
        <v>0</v>
      </c>
      <c r="Z23" s="304">
        <f>Провиант!D22</f>
        <v>0</v>
      </c>
      <c r="AA23" s="86">
        <f>Энергия!B23</f>
        <v>2</v>
      </c>
      <c r="AB23" s="87">
        <f>Энергия!D23</f>
        <v>0</v>
      </c>
      <c r="AC23" s="87">
        <f>Энергия!W23</f>
        <v>115</v>
      </c>
      <c r="AD23" s="87">
        <f>Энергия!X23</f>
        <v>120</v>
      </c>
      <c r="AE23" s="304">
        <f>Энергия!Y23</f>
        <v>5</v>
      </c>
      <c r="AF23" s="86">
        <v>9</v>
      </c>
      <c r="AG23" s="87">
        <f t="shared" ref="AG23:AG28" si="38">W23*4</f>
        <v>8</v>
      </c>
      <c r="AH23" s="87">
        <v>1</v>
      </c>
      <c r="AI23" s="87" t="s">
        <v>15</v>
      </c>
      <c r="AJ23" s="87">
        <v>9</v>
      </c>
      <c r="AK23" s="87" t="s">
        <v>15</v>
      </c>
      <c r="AL23" s="302" t="s">
        <v>15</v>
      </c>
      <c r="AM23" s="304">
        <v>24</v>
      </c>
      <c r="AN23" s="48">
        <v>14756630</v>
      </c>
      <c r="AO23" s="104"/>
      <c r="AP23" s="105"/>
      <c r="AQ23" s="86"/>
      <c r="AR23" s="305">
        <v>0.03</v>
      </c>
      <c r="AS23" s="305">
        <v>0.04</v>
      </c>
      <c r="AT23" s="305">
        <v>0.01</v>
      </c>
      <c r="AU23" s="305">
        <v>0.48</v>
      </c>
      <c r="AV23" s="305">
        <v>0.24</v>
      </c>
      <c r="AW23" s="305">
        <v>0.02</v>
      </c>
      <c r="AX23" s="305">
        <v>0.06</v>
      </c>
      <c r="AY23" s="305">
        <v>0.12</v>
      </c>
      <c r="AZ23" s="305"/>
      <c r="BA23" s="306"/>
      <c r="BB23" s="307">
        <f t="shared" si="23"/>
        <v>0</v>
      </c>
    </row>
    <row r="24" spans="1:54" ht="21" customHeight="1" x14ac:dyDescent="0.25">
      <c r="A24" s="58" t="s">
        <v>208</v>
      </c>
      <c r="B24" s="233" t="s">
        <v>234</v>
      </c>
      <c r="C24" s="8">
        <v>24</v>
      </c>
      <c r="D24" s="1">
        <v>1</v>
      </c>
      <c r="E24" s="5">
        <v>4</v>
      </c>
      <c r="F24" s="26">
        <f t="shared" ref="F24:F27" si="39">SUM(C24:E24)</f>
        <v>29</v>
      </c>
      <c r="G24" s="8">
        <v>2</v>
      </c>
      <c r="H24" s="1">
        <v>3</v>
      </c>
      <c r="I24" s="1">
        <v>6</v>
      </c>
      <c r="J24" s="1">
        <v>14</v>
      </c>
      <c r="K24" s="5">
        <v>8</v>
      </c>
      <c r="L24" s="25">
        <f t="shared" si="25"/>
        <v>33</v>
      </c>
      <c r="M24" s="8">
        <v>32</v>
      </c>
      <c r="N24" s="1">
        <v>12</v>
      </c>
      <c r="O24" s="5">
        <v>14</v>
      </c>
      <c r="P24" s="5">
        <v>10</v>
      </c>
      <c r="Q24" s="5">
        <v>4</v>
      </c>
      <c r="R24" s="25">
        <f t="shared" si="26"/>
        <v>72</v>
      </c>
      <c r="S24" s="8">
        <v>16</v>
      </c>
      <c r="T24" s="1">
        <v>6</v>
      </c>
      <c r="U24" s="5">
        <v>5</v>
      </c>
      <c r="V24" s="26">
        <f t="shared" si="27"/>
        <v>27</v>
      </c>
      <c r="W24" s="297">
        <v>4</v>
      </c>
      <c r="X24" s="21">
        <f>Провиант!B23</f>
        <v>0</v>
      </c>
      <c r="Y24" s="1">
        <f>Провиант!C23</f>
        <v>0</v>
      </c>
      <c r="Z24" s="9">
        <f>Провиант!D23</f>
        <v>0</v>
      </c>
      <c r="AA24" s="8">
        <f>Энергия!B24</f>
        <v>2</v>
      </c>
      <c r="AB24" s="1">
        <f>Энергия!D24</f>
        <v>1</v>
      </c>
      <c r="AC24" s="1">
        <f>Энергия!W24</f>
        <v>194</v>
      </c>
      <c r="AD24" s="1">
        <f>Энергия!X24</f>
        <v>270</v>
      </c>
      <c r="AE24" s="9">
        <f>Энергия!Y24</f>
        <v>76</v>
      </c>
      <c r="AF24" s="8">
        <v>42</v>
      </c>
      <c r="AG24" s="1">
        <f t="shared" si="38"/>
        <v>16</v>
      </c>
      <c r="AH24" s="1">
        <v>24</v>
      </c>
      <c r="AI24" s="1">
        <v>13</v>
      </c>
      <c r="AJ24" s="1">
        <v>18</v>
      </c>
      <c r="AK24" s="1" t="s">
        <v>15</v>
      </c>
      <c r="AL24" s="5">
        <v>17</v>
      </c>
      <c r="AM24" s="9">
        <v>96</v>
      </c>
      <c r="AN24" s="42">
        <v>48562132</v>
      </c>
      <c r="AO24" s="75"/>
      <c r="AP24" s="80"/>
      <c r="AQ24" s="8"/>
      <c r="AR24" s="31">
        <v>0.03</v>
      </c>
      <c r="AS24" s="31">
        <v>0.02</v>
      </c>
      <c r="AT24" s="31">
        <v>0.04</v>
      </c>
      <c r="AU24" s="31">
        <v>0.14000000000000001</v>
      </c>
      <c r="AV24" s="31">
        <v>0.36</v>
      </c>
      <c r="AW24" s="31">
        <v>0.22</v>
      </c>
      <c r="AX24" s="31">
        <v>0.06</v>
      </c>
      <c r="AY24" s="31">
        <v>0.12</v>
      </c>
      <c r="AZ24" s="31">
        <v>0.01</v>
      </c>
      <c r="BA24" s="35"/>
      <c r="BB24" s="268">
        <f t="shared" si="23"/>
        <v>0</v>
      </c>
    </row>
    <row r="25" spans="1:54" s="3" customFormat="1" ht="21" customHeight="1" x14ac:dyDescent="0.25">
      <c r="A25" s="59" t="s">
        <v>209</v>
      </c>
      <c r="B25" s="234" t="s">
        <v>233</v>
      </c>
      <c r="C25" s="6">
        <v>12</v>
      </c>
      <c r="D25" s="2"/>
      <c r="E25" s="4">
        <v>2</v>
      </c>
      <c r="F25" s="26">
        <f t="shared" si="39"/>
        <v>14</v>
      </c>
      <c r="G25" s="6"/>
      <c r="H25" s="2">
        <v>1</v>
      </c>
      <c r="I25" s="2">
        <v>3</v>
      </c>
      <c r="J25" s="2">
        <v>6</v>
      </c>
      <c r="K25" s="4">
        <v>5</v>
      </c>
      <c r="L25" s="25">
        <f t="shared" si="25"/>
        <v>15</v>
      </c>
      <c r="M25" s="6">
        <v>12</v>
      </c>
      <c r="N25" s="2">
        <v>4</v>
      </c>
      <c r="O25" s="4">
        <v>4</v>
      </c>
      <c r="P25" s="4">
        <v>3</v>
      </c>
      <c r="Q25" s="4">
        <v>1</v>
      </c>
      <c r="R25" s="25">
        <f t="shared" si="26"/>
        <v>24</v>
      </c>
      <c r="S25" s="6">
        <v>5</v>
      </c>
      <c r="T25" s="2">
        <v>1</v>
      </c>
      <c r="U25" s="4">
        <v>3</v>
      </c>
      <c r="V25" s="26">
        <f t="shared" si="27"/>
        <v>9</v>
      </c>
      <c r="W25" s="296">
        <v>8</v>
      </c>
      <c r="X25" s="20">
        <f>Провиант!B24</f>
        <v>0</v>
      </c>
      <c r="Y25" s="13">
        <f>Провиант!C24</f>
        <v>0</v>
      </c>
      <c r="Z25" s="14">
        <f>Провиант!D24</f>
        <v>0</v>
      </c>
      <c r="AA25" s="6">
        <f>Энергия!B25</f>
        <v>1</v>
      </c>
      <c r="AB25" s="2">
        <f>Энергия!D25</f>
        <v>0</v>
      </c>
      <c r="AC25" s="2">
        <f>Энергия!W25</f>
        <v>96</v>
      </c>
      <c r="AD25" s="2">
        <f>Энергия!X25</f>
        <v>60</v>
      </c>
      <c r="AE25" s="7">
        <f>Энергия!Y25</f>
        <v>-36</v>
      </c>
      <c r="AF25" s="15">
        <v>83</v>
      </c>
      <c r="AG25" s="13">
        <f t="shared" si="38"/>
        <v>32</v>
      </c>
      <c r="AH25" s="13">
        <v>22</v>
      </c>
      <c r="AI25" s="13">
        <v>20</v>
      </c>
      <c r="AJ25" s="13">
        <v>12</v>
      </c>
      <c r="AK25" s="13" t="s">
        <v>15</v>
      </c>
      <c r="AL25" s="18">
        <v>7</v>
      </c>
      <c r="AM25" s="14">
        <v>28</v>
      </c>
      <c r="AN25" s="40">
        <v>9409433</v>
      </c>
      <c r="AO25" s="249"/>
      <c r="AP25" s="76"/>
      <c r="AQ25" s="6"/>
      <c r="AR25" s="32">
        <v>0.05</v>
      </c>
      <c r="AS25" s="32">
        <v>0.12</v>
      </c>
      <c r="AT25" s="32">
        <v>0.56000000000000005</v>
      </c>
      <c r="AU25" s="32">
        <v>7.0000000000000007E-2</v>
      </c>
      <c r="AV25" s="32">
        <v>0.1</v>
      </c>
      <c r="AW25" s="32">
        <v>0.03</v>
      </c>
      <c r="AX25" s="32">
        <v>0.05</v>
      </c>
      <c r="AY25" s="32">
        <v>0.02</v>
      </c>
      <c r="AZ25" s="32"/>
      <c r="BA25" s="36"/>
      <c r="BB25" s="268">
        <f t="shared" si="23"/>
        <v>0</v>
      </c>
    </row>
    <row r="26" spans="1:54" ht="21" customHeight="1" x14ac:dyDescent="0.25">
      <c r="A26" s="58" t="s">
        <v>210</v>
      </c>
      <c r="B26" s="233" t="s">
        <v>232</v>
      </c>
      <c r="C26" s="8">
        <v>16</v>
      </c>
      <c r="D26" s="1"/>
      <c r="E26" s="5">
        <v>2</v>
      </c>
      <c r="F26" s="26">
        <f t="shared" si="39"/>
        <v>18</v>
      </c>
      <c r="G26" s="8"/>
      <c r="H26" s="1">
        <v>1</v>
      </c>
      <c r="I26" s="1">
        <v>2</v>
      </c>
      <c r="J26" s="1">
        <v>7</v>
      </c>
      <c r="K26" s="5">
        <v>3</v>
      </c>
      <c r="L26" s="25">
        <f t="shared" si="25"/>
        <v>13</v>
      </c>
      <c r="M26" s="8">
        <v>20</v>
      </c>
      <c r="N26" s="1">
        <v>7</v>
      </c>
      <c r="O26" s="5">
        <v>3</v>
      </c>
      <c r="P26" s="5">
        <v>4</v>
      </c>
      <c r="Q26" s="5">
        <v>2</v>
      </c>
      <c r="R26" s="25">
        <f t="shared" si="26"/>
        <v>36</v>
      </c>
      <c r="S26" s="8">
        <v>6</v>
      </c>
      <c r="T26" s="1">
        <v>3</v>
      </c>
      <c r="U26" s="5">
        <v>1</v>
      </c>
      <c r="V26" s="26">
        <f t="shared" si="27"/>
        <v>10</v>
      </c>
      <c r="W26" s="297">
        <v>1</v>
      </c>
      <c r="X26" s="21">
        <f>Провиант!B25</f>
        <v>0</v>
      </c>
      <c r="Y26" s="1">
        <f>Провиант!C25</f>
        <v>0</v>
      </c>
      <c r="Z26" s="9">
        <f>Провиант!D25</f>
        <v>0</v>
      </c>
      <c r="AA26" s="8">
        <f>Энергия!B26</f>
        <v>1</v>
      </c>
      <c r="AB26" s="1">
        <f>Энергия!D26</f>
        <v>0</v>
      </c>
      <c r="AC26" s="1">
        <f>Энергия!W26</f>
        <v>79.5</v>
      </c>
      <c r="AD26" s="1">
        <f>Энергия!X26</f>
        <v>60</v>
      </c>
      <c r="AE26" s="9">
        <f>Энергия!Y26</f>
        <v>-19.5</v>
      </c>
      <c r="AF26" s="8">
        <v>18</v>
      </c>
      <c r="AG26" s="1">
        <f t="shared" si="38"/>
        <v>4</v>
      </c>
      <c r="AH26" s="1">
        <v>10</v>
      </c>
      <c r="AI26" s="1">
        <v>8</v>
      </c>
      <c r="AJ26" s="1">
        <v>3</v>
      </c>
      <c r="AK26" s="1" t="s">
        <v>15</v>
      </c>
      <c r="AL26" s="5" t="s">
        <v>15</v>
      </c>
      <c r="AM26" s="9">
        <v>19</v>
      </c>
      <c r="AN26" s="42">
        <v>11825698</v>
      </c>
      <c r="AO26" s="75"/>
      <c r="AP26" s="80"/>
      <c r="AQ26" s="8"/>
      <c r="AR26" s="31">
        <v>0.03</v>
      </c>
      <c r="AS26" s="31">
        <v>0.01</v>
      </c>
      <c r="AT26" s="31">
        <v>0.05</v>
      </c>
      <c r="AU26" s="31">
        <v>0.09</v>
      </c>
      <c r="AV26" s="31">
        <v>0.47</v>
      </c>
      <c r="AW26" s="31">
        <v>0.21</v>
      </c>
      <c r="AX26" s="31">
        <v>7.0000000000000007E-2</v>
      </c>
      <c r="AY26" s="31">
        <v>0.06</v>
      </c>
      <c r="AZ26" s="31">
        <v>0.01</v>
      </c>
      <c r="BA26" s="35"/>
      <c r="BB26" s="268">
        <f t="shared" si="23"/>
        <v>0</v>
      </c>
    </row>
    <row r="27" spans="1:54" s="3" customFormat="1" ht="21" customHeight="1" x14ac:dyDescent="0.25">
      <c r="A27" s="59" t="s">
        <v>211</v>
      </c>
      <c r="B27" s="234" t="s">
        <v>231</v>
      </c>
      <c r="C27" s="6">
        <v>8</v>
      </c>
      <c r="D27" s="2"/>
      <c r="E27" s="4">
        <v>1</v>
      </c>
      <c r="F27" s="26">
        <f t="shared" si="39"/>
        <v>9</v>
      </c>
      <c r="G27" s="6"/>
      <c r="H27" s="2"/>
      <c r="I27" s="2">
        <v>1</v>
      </c>
      <c r="J27" s="2">
        <v>4</v>
      </c>
      <c r="K27" s="4">
        <v>1</v>
      </c>
      <c r="L27" s="25">
        <f t="shared" si="25"/>
        <v>6</v>
      </c>
      <c r="M27" s="6">
        <v>6</v>
      </c>
      <c r="N27" s="2">
        <v>1</v>
      </c>
      <c r="O27" s="4">
        <v>2</v>
      </c>
      <c r="P27" s="4"/>
      <c r="Q27" s="4">
        <v>1</v>
      </c>
      <c r="R27" s="25">
        <f t="shared" si="26"/>
        <v>10</v>
      </c>
      <c r="S27" s="6">
        <v>3</v>
      </c>
      <c r="T27" s="2">
        <v>1</v>
      </c>
      <c r="U27" s="4">
        <v>2</v>
      </c>
      <c r="V27" s="26">
        <f t="shared" si="27"/>
        <v>6</v>
      </c>
      <c r="W27" s="296"/>
      <c r="X27" s="20">
        <f>Провиант!B26</f>
        <v>0</v>
      </c>
      <c r="Y27" s="13">
        <f>Провиант!C26</f>
        <v>0</v>
      </c>
      <c r="Z27" s="14">
        <f>Провиант!D26</f>
        <v>0</v>
      </c>
      <c r="AA27" s="6">
        <f>Энергия!B27</f>
        <v>1</v>
      </c>
      <c r="AB27" s="2">
        <f>Энергия!D27</f>
        <v>0</v>
      </c>
      <c r="AC27" s="2">
        <f>Энергия!W27</f>
        <v>50</v>
      </c>
      <c r="AD27" s="2">
        <f>Энергия!X27</f>
        <v>60</v>
      </c>
      <c r="AE27" s="7">
        <f>Энергия!Y27</f>
        <v>10</v>
      </c>
      <c r="AF27" s="15">
        <v>4</v>
      </c>
      <c r="AG27" s="13">
        <f>W27*4</f>
        <v>0</v>
      </c>
      <c r="AH27" s="13">
        <v>1</v>
      </c>
      <c r="AI27" s="13" t="s">
        <v>15</v>
      </c>
      <c r="AJ27" s="13">
        <v>2</v>
      </c>
      <c r="AK27" s="13" t="s">
        <v>15</v>
      </c>
      <c r="AL27" s="18" t="s">
        <v>15</v>
      </c>
      <c r="AM27" s="14">
        <v>23</v>
      </c>
      <c r="AN27" s="40">
        <v>6214695</v>
      </c>
      <c r="AO27" s="249"/>
      <c r="AP27" s="76"/>
      <c r="AQ27" s="6"/>
      <c r="AR27" s="32"/>
      <c r="AS27" s="32">
        <v>0.01</v>
      </c>
      <c r="AT27" s="32">
        <v>0.02</v>
      </c>
      <c r="AU27" s="32">
        <v>0.11</v>
      </c>
      <c r="AV27" s="32">
        <v>0.21</v>
      </c>
      <c r="AW27" s="32">
        <v>0.04</v>
      </c>
      <c r="AX27" s="32">
        <v>0.54</v>
      </c>
      <c r="AY27" s="32">
        <v>0.05</v>
      </c>
      <c r="AZ27" s="32">
        <v>0.02</v>
      </c>
      <c r="BA27" s="36"/>
      <c r="BB27" s="268">
        <f t="shared" si="23"/>
        <v>0</v>
      </c>
    </row>
    <row r="28" spans="1:54" ht="21" customHeight="1" thickBot="1" x14ac:dyDescent="0.3">
      <c r="A28" s="278" t="s">
        <v>212</v>
      </c>
      <c r="B28" s="279" t="s">
        <v>230</v>
      </c>
      <c r="C28" s="283">
        <v>16</v>
      </c>
      <c r="D28" s="281"/>
      <c r="E28" s="282">
        <v>2</v>
      </c>
      <c r="F28" s="27">
        <f t="shared" ref="F28" si="40">SUM(C28:E28)</f>
        <v>18</v>
      </c>
      <c r="G28" s="283"/>
      <c r="H28" s="281">
        <v>1</v>
      </c>
      <c r="I28" s="281">
        <v>4</v>
      </c>
      <c r="J28" s="281">
        <v>12</v>
      </c>
      <c r="K28" s="282">
        <v>4</v>
      </c>
      <c r="L28" s="308">
        <f t="shared" ref="L28" si="41">SUM(G28:K28)</f>
        <v>21</v>
      </c>
      <c r="M28" s="283">
        <v>18</v>
      </c>
      <c r="N28" s="281">
        <v>6</v>
      </c>
      <c r="O28" s="282">
        <v>16</v>
      </c>
      <c r="P28" s="282">
        <v>5</v>
      </c>
      <c r="Q28" s="282">
        <v>3</v>
      </c>
      <c r="R28" s="308">
        <f t="shared" ref="R28" si="42">SUM(M28:Q28)</f>
        <v>48</v>
      </c>
      <c r="S28" s="283">
        <v>9</v>
      </c>
      <c r="T28" s="281">
        <v>1</v>
      </c>
      <c r="U28" s="282">
        <v>6</v>
      </c>
      <c r="V28" s="27">
        <f t="shared" ref="V28" si="43">SUM(S28:U28)</f>
        <v>16</v>
      </c>
      <c r="W28" s="336">
        <v>1</v>
      </c>
      <c r="X28" s="280">
        <f>Провиант!B27</f>
        <v>0</v>
      </c>
      <c r="Y28" s="281">
        <f>Провиант!C27</f>
        <v>0</v>
      </c>
      <c r="Z28" s="284">
        <f>Провиант!D27</f>
        <v>0</v>
      </c>
      <c r="AA28" s="283">
        <f>Энергия!B28</f>
        <v>2</v>
      </c>
      <c r="AB28" s="281">
        <f>Энергия!D28</f>
        <v>0</v>
      </c>
      <c r="AC28" s="281">
        <f>Энергия!W28</f>
        <v>114.5</v>
      </c>
      <c r="AD28" s="281">
        <f>Энергия!X28</f>
        <v>120</v>
      </c>
      <c r="AE28" s="284">
        <f>Энергия!Y28</f>
        <v>5.5</v>
      </c>
      <c r="AF28" s="283">
        <v>12</v>
      </c>
      <c r="AG28" s="1">
        <f t="shared" si="38"/>
        <v>4</v>
      </c>
      <c r="AH28" s="281">
        <v>2</v>
      </c>
      <c r="AI28" s="281">
        <v>2</v>
      </c>
      <c r="AJ28" s="281">
        <v>7</v>
      </c>
      <c r="AK28" s="281" t="s">
        <v>15</v>
      </c>
      <c r="AL28" s="282">
        <v>34</v>
      </c>
      <c r="AM28" s="284">
        <v>40</v>
      </c>
      <c r="AN28" s="292">
        <v>16957871</v>
      </c>
      <c r="AO28" s="285"/>
      <c r="AP28" s="286"/>
      <c r="AQ28" s="283"/>
      <c r="AR28" s="300">
        <v>0.02</v>
      </c>
      <c r="AS28" s="300">
        <v>0.05</v>
      </c>
      <c r="AT28" s="300">
        <v>0.03</v>
      </c>
      <c r="AU28" s="300">
        <v>0.62</v>
      </c>
      <c r="AV28" s="300">
        <v>0.13</v>
      </c>
      <c r="AW28" s="300">
        <v>0.01</v>
      </c>
      <c r="AX28" s="300">
        <v>0.05</v>
      </c>
      <c r="AY28" s="300">
        <v>0.09</v>
      </c>
      <c r="AZ28" s="300"/>
      <c r="BA28" s="301"/>
      <c r="BB28" s="246">
        <f t="shared" si="23"/>
        <v>0</v>
      </c>
    </row>
    <row r="29" spans="1:54" s="248" customFormat="1" ht="21.75" customHeight="1" thickBot="1" x14ac:dyDescent="0.3">
      <c r="A29" s="269" t="s">
        <v>213</v>
      </c>
      <c r="B29" s="270"/>
      <c r="C29" s="272">
        <f>SUM(C30:C37)</f>
        <v>0</v>
      </c>
      <c r="D29" s="287">
        <f t="shared" ref="D29:AP29" si="44">SUM(D30:D37)</f>
        <v>0</v>
      </c>
      <c r="E29" s="289">
        <f t="shared" si="44"/>
        <v>0</v>
      </c>
      <c r="F29" s="294">
        <f t="shared" si="44"/>
        <v>0</v>
      </c>
      <c r="G29" s="272">
        <f t="shared" si="44"/>
        <v>0</v>
      </c>
      <c r="H29" s="287">
        <f t="shared" si="44"/>
        <v>0</v>
      </c>
      <c r="I29" s="287">
        <f t="shared" si="44"/>
        <v>0</v>
      </c>
      <c r="J29" s="287">
        <f t="shared" si="44"/>
        <v>0</v>
      </c>
      <c r="K29" s="289">
        <f t="shared" si="44"/>
        <v>0</v>
      </c>
      <c r="L29" s="294">
        <f t="shared" si="44"/>
        <v>0</v>
      </c>
      <c r="M29" s="272">
        <f t="shared" si="44"/>
        <v>0</v>
      </c>
      <c r="N29" s="287">
        <f t="shared" si="44"/>
        <v>0</v>
      </c>
      <c r="O29" s="289">
        <f t="shared" si="44"/>
        <v>0</v>
      </c>
      <c r="P29" s="289">
        <f t="shared" ref="P29" si="45">SUM(P30:P37)</f>
        <v>0</v>
      </c>
      <c r="Q29" s="289">
        <f t="shared" si="44"/>
        <v>0</v>
      </c>
      <c r="R29" s="294">
        <f t="shared" si="44"/>
        <v>0</v>
      </c>
      <c r="S29" s="272">
        <f t="shared" si="44"/>
        <v>0</v>
      </c>
      <c r="T29" s="287">
        <f t="shared" si="44"/>
        <v>0</v>
      </c>
      <c r="U29" s="289">
        <f t="shared" si="44"/>
        <v>0</v>
      </c>
      <c r="V29" s="294">
        <f t="shared" si="44"/>
        <v>0</v>
      </c>
      <c r="W29" s="271">
        <f t="shared" si="44"/>
        <v>0</v>
      </c>
      <c r="X29" s="287">
        <f t="shared" si="44"/>
        <v>0</v>
      </c>
      <c r="Y29" s="287">
        <f t="shared" si="44"/>
        <v>0</v>
      </c>
      <c r="Z29" s="293">
        <f t="shared" si="44"/>
        <v>0</v>
      </c>
      <c r="AA29" s="272">
        <f t="shared" si="44"/>
        <v>0</v>
      </c>
      <c r="AB29" s="287">
        <f t="shared" si="44"/>
        <v>0</v>
      </c>
      <c r="AC29" s="287">
        <f t="shared" si="44"/>
        <v>185</v>
      </c>
      <c r="AD29" s="287">
        <f t="shared" si="44"/>
        <v>0</v>
      </c>
      <c r="AE29" s="293">
        <f t="shared" si="44"/>
        <v>-185</v>
      </c>
      <c r="AF29" s="272">
        <f t="shared" si="44"/>
        <v>0</v>
      </c>
      <c r="AG29" s="287">
        <f t="shared" si="44"/>
        <v>0</v>
      </c>
      <c r="AH29" s="287">
        <f t="shared" si="44"/>
        <v>0</v>
      </c>
      <c r="AI29" s="287">
        <f t="shared" si="44"/>
        <v>0</v>
      </c>
      <c r="AJ29" s="287">
        <f t="shared" si="44"/>
        <v>0</v>
      </c>
      <c r="AK29" s="287">
        <f t="shared" si="44"/>
        <v>0</v>
      </c>
      <c r="AL29" s="287">
        <f t="shared" si="44"/>
        <v>0</v>
      </c>
      <c r="AM29" s="293">
        <f t="shared" si="44"/>
        <v>0</v>
      </c>
      <c r="AN29" s="274">
        <f t="shared" si="44"/>
        <v>0</v>
      </c>
      <c r="AO29" s="273">
        <f t="shared" si="44"/>
        <v>0</v>
      </c>
      <c r="AP29" s="288">
        <f t="shared" si="44"/>
        <v>0</v>
      </c>
      <c r="AQ29" s="272"/>
      <c r="AR29" s="275"/>
      <c r="AS29" s="275"/>
      <c r="AT29" s="275"/>
      <c r="AU29" s="275"/>
      <c r="AV29" s="275"/>
      <c r="AW29" s="275"/>
      <c r="AX29" s="275"/>
      <c r="AY29" s="275"/>
      <c r="AZ29" s="275"/>
      <c r="BA29" s="276"/>
      <c r="BB29" s="277"/>
    </row>
    <row r="30" spans="1:54" s="3" customFormat="1" ht="21" customHeight="1" x14ac:dyDescent="0.25">
      <c r="A30" s="61" t="s">
        <v>214</v>
      </c>
      <c r="B30" s="62" t="s">
        <v>229</v>
      </c>
      <c r="C30" s="86"/>
      <c r="D30" s="87"/>
      <c r="E30" s="302"/>
      <c r="F30" s="334">
        <f>SUM(C30:E30)</f>
        <v>0</v>
      </c>
      <c r="G30" s="86"/>
      <c r="H30" s="87"/>
      <c r="I30" s="87"/>
      <c r="J30" s="87"/>
      <c r="K30" s="302"/>
      <c r="L30" s="334">
        <f t="shared" ref="L30:L36" si="46">SUM(G30:K30)</f>
        <v>0</v>
      </c>
      <c r="M30" s="86"/>
      <c r="N30" s="87"/>
      <c r="O30" s="302"/>
      <c r="P30" s="302"/>
      <c r="Q30" s="302"/>
      <c r="R30" s="334">
        <f t="shared" ref="R30:R36" si="47">SUM(M30:Q30)</f>
        <v>0</v>
      </c>
      <c r="S30" s="86"/>
      <c r="T30" s="87"/>
      <c r="U30" s="302"/>
      <c r="V30" s="334">
        <f t="shared" ref="V30:V36" si="48">SUM(S30:U30)</f>
        <v>0</v>
      </c>
      <c r="W30" s="335"/>
      <c r="X30" s="303">
        <f>Провиант!B29</f>
        <v>0</v>
      </c>
      <c r="Y30" s="87">
        <f>Провиант!C29</f>
        <v>0</v>
      </c>
      <c r="Z30" s="304">
        <f>Провиант!D29</f>
        <v>0</v>
      </c>
      <c r="AA30" s="86">
        <f>Энергия!B30</f>
        <v>0</v>
      </c>
      <c r="AB30" s="87">
        <f>Энергия!D30</f>
        <v>0</v>
      </c>
      <c r="AC30" s="87">
        <f>Энергия!W30</f>
        <v>16</v>
      </c>
      <c r="AD30" s="87">
        <f>Энергия!X30</f>
        <v>0</v>
      </c>
      <c r="AE30" s="304">
        <f>Энергия!Y30</f>
        <v>-16</v>
      </c>
      <c r="AF30" s="86"/>
      <c r="AG30" s="303"/>
      <c r="AH30" s="87"/>
      <c r="AI30" s="87"/>
      <c r="AJ30" s="87"/>
      <c r="AK30" s="87"/>
      <c r="AL30" s="302"/>
      <c r="AM30" s="304"/>
      <c r="AN30" s="48"/>
      <c r="AO30" s="104"/>
      <c r="AP30" s="105"/>
      <c r="AQ30" s="86"/>
      <c r="AR30" s="305"/>
      <c r="AS30" s="305"/>
      <c r="AT30" s="305"/>
      <c r="AU30" s="305"/>
      <c r="AV30" s="305"/>
      <c r="AW30" s="305"/>
      <c r="AX30" s="305"/>
      <c r="AY30" s="305"/>
      <c r="AZ30" s="305"/>
      <c r="BA30" s="306"/>
      <c r="BB30" s="307">
        <f t="shared" si="23"/>
        <v>1</v>
      </c>
    </row>
    <row r="31" spans="1:54" ht="21" customHeight="1" x14ac:dyDescent="0.25">
      <c r="A31" s="58" t="s">
        <v>215</v>
      </c>
      <c r="B31" s="233" t="s">
        <v>228</v>
      </c>
      <c r="C31" s="8"/>
      <c r="D31" s="1"/>
      <c r="E31" s="5"/>
      <c r="F31" s="26">
        <f t="shared" ref="F31:F36" si="49">SUM(C31:E31)</f>
        <v>0</v>
      </c>
      <c r="G31" s="8"/>
      <c r="H31" s="1"/>
      <c r="I31" s="1"/>
      <c r="J31" s="1"/>
      <c r="K31" s="5"/>
      <c r="L31" s="25">
        <f t="shared" si="46"/>
        <v>0</v>
      </c>
      <c r="M31" s="8"/>
      <c r="N31" s="1"/>
      <c r="O31" s="5"/>
      <c r="P31" s="5"/>
      <c r="Q31" s="5"/>
      <c r="R31" s="25">
        <f t="shared" si="47"/>
        <v>0</v>
      </c>
      <c r="S31" s="8"/>
      <c r="T31" s="1"/>
      <c r="U31" s="5"/>
      <c r="V31" s="26">
        <f t="shared" si="48"/>
        <v>0</v>
      </c>
      <c r="W31" s="297"/>
      <c r="X31" s="21">
        <f>Провиант!B30</f>
        <v>0</v>
      </c>
      <c r="Y31" s="1">
        <f>Провиант!C30</f>
        <v>0</v>
      </c>
      <c r="Z31" s="9">
        <f>Провиант!D30</f>
        <v>0</v>
      </c>
      <c r="AA31" s="8">
        <f>Энергия!B31</f>
        <v>0</v>
      </c>
      <c r="AB31" s="1">
        <f>Энергия!D31</f>
        <v>0</v>
      </c>
      <c r="AC31" s="1">
        <f>Энергия!W31</f>
        <v>14</v>
      </c>
      <c r="AD31" s="1">
        <f>Энергия!X31</f>
        <v>0</v>
      </c>
      <c r="AE31" s="9">
        <f>Энергия!Y31</f>
        <v>-14</v>
      </c>
      <c r="AF31" s="8"/>
      <c r="AG31" s="119"/>
      <c r="AH31" s="1"/>
      <c r="AI31" s="1"/>
      <c r="AJ31" s="1"/>
      <c r="AK31" s="1"/>
      <c r="AL31" s="5"/>
      <c r="AM31" s="9"/>
      <c r="AN31" s="42"/>
      <c r="AO31" s="75"/>
      <c r="AP31" s="80"/>
      <c r="AQ31" s="8"/>
      <c r="AR31" s="31"/>
      <c r="AS31" s="31"/>
      <c r="AT31" s="31"/>
      <c r="AU31" s="31"/>
      <c r="AV31" s="31"/>
      <c r="AW31" s="31"/>
      <c r="AX31" s="31"/>
      <c r="AY31" s="31"/>
      <c r="AZ31" s="31"/>
      <c r="BA31" s="35"/>
      <c r="BB31" s="268">
        <f t="shared" si="23"/>
        <v>1</v>
      </c>
    </row>
    <row r="32" spans="1:54" s="3" customFormat="1" ht="21" customHeight="1" x14ac:dyDescent="0.25">
      <c r="A32" s="59" t="s">
        <v>216</v>
      </c>
      <c r="B32" s="234" t="s">
        <v>227</v>
      </c>
      <c r="C32" s="6"/>
      <c r="D32" s="2"/>
      <c r="E32" s="4"/>
      <c r="F32" s="26">
        <f t="shared" si="49"/>
        <v>0</v>
      </c>
      <c r="G32" s="6"/>
      <c r="H32" s="2"/>
      <c r="I32" s="2"/>
      <c r="J32" s="2"/>
      <c r="K32" s="4"/>
      <c r="L32" s="25">
        <f t="shared" si="46"/>
        <v>0</v>
      </c>
      <c r="M32" s="6"/>
      <c r="N32" s="2"/>
      <c r="O32" s="4"/>
      <c r="P32" s="4"/>
      <c r="Q32" s="4"/>
      <c r="R32" s="25">
        <f t="shared" si="47"/>
        <v>0</v>
      </c>
      <c r="S32" s="6"/>
      <c r="T32" s="2"/>
      <c r="U32" s="4"/>
      <c r="V32" s="26">
        <f t="shared" si="48"/>
        <v>0</v>
      </c>
      <c r="W32" s="296"/>
      <c r="X32" s="20">
        <f>Провиант!B31</f>
        <v>0</v>
      </c>
      <c r="Y32" s="13">
        <f>Провиант!C31</f>
        <v>0</v>
      </c>
      <c r="Z32" s="14">
        <f>Провиант!D31</f>
        <v>0</v>
      </c>
      <c r="AA32" s="6">
        <f>Энергия!B32</f>
        <v>0</v>
      </c>
      <c r="AB32" s="2">
        <f>Энергия!D32</f>
        <v>0</v>
      </c>
      <c r="AC32" s="2">
        <f>Энергия!W32</f>
        <v>15</v>
      </c>
      <c r="AD32" s="2">
        <f>Энергия!X32</f>
        <v>0</v>
      </c>
      <c r="AE32" s="7">
        <f>Энергия!Y32</f>
        <v>-15</v>
      </c>
      <c r="AF32" s="15"/>
      <c r="AG32" s="20"/>
      <c r="AH32" s="13"/>
      <c r="AI32" s="13"/>
      <c r="AJ32" s="13"/>
      <c r="AK32" s="13"/>
      <c r="AL32" s="18"/>
      <c r="AM32" s="14"/>
      <c r="AN32" s="40"/>
      <c r="AO32" s="249"/>
      <c r="AP32" s="76"/>
      <c r="AQ32" s="6"/>
      <c r="AR32" s="32"/>
      <c r="AS32" s="32"/>
      <c r="AT32" s="32"/>
      <c r="AU32" s="32"/>
      <c r="AV32" s="32"/>
      <c r="AW32" s="32"/>
      <c r="AX32" s="32"/>
      <c r="AY32" s="32"/>
      <c r="AZ32" s="32"/>
      <c r="BA32" s="36"/>
      <c r="BB32" s="268">
        <f t="shared" si="23"/>
        <v>1</v>
      </c>
    </row>
    <row r="33" spans="1:54" ht="21" customHeight="1" x14ac:dyDescent="0.25">
      <c r="A33" s="58" t="s">
        <v>217</v>
      </c>
      <c r="B33" s="233" t="s">
        <v>226</v>
      </c>
      <c r="C33" s="8"/>
      <c r="D33" s="1"/>
      <c r="E33" s="5"/>
      <c r="F33" s="26">
        <f t="shared" si="49"/>
        <v>0</v>
      </c>
      <c r="G33" s="8"/>
      <c r="H33" s="1"/>
      <c r="I33" s="1"/>
      <c r="J33" s="1"/>
      <c r="K33" s="5"/>
      <c r="L33" s="25">
        <f t="shared" si="46"/>
        <v>0</v>
      </c>
      <c r="M33" s="8"/>
      <c r="N33" s="1"/>
      <c r="O33" s="5"/>
      <c r="P33" s="5"/>
      <c r="Q33" s="5"/>
      <c r="R33" s="25">
        <f t="shared" si="47"/>
        <v>0</v>
      </c>
      <c r="S33" s="8"/>
      <c r="T33" s="1"/>
      <c r="U33" s="5"/>
      <c r="V33" s="26">
        <f t="shared" si="48"/>
        <v>0</v>
      </c>
      <c r="W33" s="297"/>
      <c r="X33" s="21">
        <f>Провиант!B32</f>
        <v>0</v>
      </c>
      <c r="Y33" s="1">
        <f>Провиант!C32</f>
        <v>0</v>
      </c>
      <c r="Z33" s="9">
        <f>Провиант!D32</f>
        <v>0</v>
      </c>
      <c r="AA33" s="8">
        <f>Энергия!B33</f>
        <v>0</v>
      </c>
      <c r="AB33" s="1">
        <f>Энергия!D33</f>
        <v>0</v>
      </c>
      <c r="AC33" s="1">
        <f>Энергия!W33</f>
        <v>16</v>
      </c>
      <c r="AD33" s="1">
        <f>Энергия!X33</f>
        <v>0</v>
      </c>
      <c r="AE33" s="9">
        <f>Энергия!Y33</f>
        <v>-16</v>
      </c>
      <c r="AF33" s="8"/>
      <c r="AG33" s="119"/>
      <c r="AH33" s="1"/>
      <c r="AI33" s="1"/>
      <c r="AJ33" s="1"/>
      <c r="AK33" s="1"/>
      <c r="AL33" s="5"/>
      <c r="AM33" s="9"/>
      <c r="AN33" s="42"/>
      <c r="AO33" s="75"/>
      <c r="AP33" s="80"/>
      <c r="AQ33" s="8"/>
      <c r="AR33" s="31"/>
      <c r="AS33" s="31"/>
      <c r="AT33" s="31"/>
      <c r="AU33" s="31"/>
      <c r="AV33" s="31"/>
      <c r="AW33" s="31"/>
      <c r="AX33" s="31"/>
      <c r="AY33" s="31"/>
      <c r="AZ33" s="31"/>
      <c r="BA33" s="35"/>
      <c r="BB33" s="268">
        <f t="shared" si="23"/>
        <v>1</v>
      </c>
    </row>
    <row r="34" spans="1:54" s="3" customFormat="1" ht="21" customHeight="1" x14ac:dyDescent="0.25">
      <c r="A34" s="59" t="s">
        <v>218</v>
      </c>
      <c r="B34" s="234" t="s">
        <v>225</v>
      </c>
      <c r="C34" s="6"/>
      <c r="D34" s="2"/>
      <c r="E34" s="4"/>
      <c r="F34" s="26">
        <f t="shared" si="49"/>
        <v>0</v>
      </c>
      <c r="G34" s="6"/>
      <c r="H34" s="2"/>
      <c r="I34" s="2"/>
      <c r="J34" s="2"/>
      <c r="K34" s="4"/>
      <c r="L34" s="25">
        <f t="shared" si="46"/>
        <v>0</v>
      </c>
      <c r="M34" s="6"/>
      <c r="N34" s="2"/>
      <c r="O34" s="4"/>
      <c r="P34" s="4"/>
      <c r="Q34" s="4"/>
      <c r="R34" s="25">
        <f t="shared" si="47"/>
        <v>0</v>
      </c>
      <c r="S34" s="6"/>
      <c r="T34" s="2"/>
      <c r="U34" s="4"/>
      <c r="V34" s="26">
        <f t="shared" si="48"/>
        <v>0</v>
      </c>
      <c r="W34" s="296"/>
      <c r="X34" s="20">
        <f>Провиант!B33</f>
        <v>0</v>
      </c>
      <c r="Y34" s="13">
        <f>Провиант!C33</f>
        <v>0</v>
      </c>
      <c r="Z34" s="14">
        <f>Провиант!D33</f>
        <v>0</v>
      </c>
      <c r="AA34" s="6">
        <f>Энергия!B34</f>
        <v>0</v>
      </c>
      <c r="AB34" s="2">
        <f>Энергия!D34</f>
        <v>0</v>
      </c>
      <c r="AC34" s="2">
        <f>Энергия!W34</f>
        <v>24</v>
      </c>
      <c r="AD34" s="2">
        <f>Энергия!X34</f>
        <v>0</v>
      </c>
      <c r="AE34" s="7">
        <f>Энергия!Y34</f>
        <v>-24</v>
      </c>
      <c r="AF34" s="15"/>
      <c r="AG34" s="20"/>
      <c r="AH34" s="13"/>
      <c r="AI34" s="13"/>
      <c r="AJ34" s="13"/>
      <c r="AK34" s="13"/>
      <c r="AL34" s="18"/>
      <c r="AM34" s="14"/>
      <c r="AN34" s="40"/>
      <c r="AO34" s="249"/>
      <c r="AP34" s="76"/>
      <c r="AQ34" s="6"/>
      <c r="AR34" s="32"/>
      <c r="AS34" s="32"/>
      <c r="AT34" s="32"/>
      <c r="AU34" s="32"/>
      <c r="AV34" s="32"/>
      <c r="AW34" s="32"/>
      <c r="AX34" s="32"/>
      <c r="AY34" s="32"/>
      <c r="AZ34" s="32"/>
      <c r="BA34" s="36"/>
      <c r="BB34" s="268">
        <f t="shared" si="23"/>
        <v>1</v>
      </c>
    </row>
    <row r="35" spans="1:54" ht="21" customHeight="1" x14ac:dyDescent="0.25">
      <c r="A35" s="58" t="s">
        <v>219</v>
      </c>
      <c r="B35" s="233" t="s">
        <v>224</v>
      </c>
      <c r="C35" s="8"/>
      <c r="D35" s="1"/>
      <c r="E35" s="5"/>
      <c r="F35" s="26">
        <f t="shared" si="49"/>
        <v>0</v>
      </c>
      <c r="G35" s="8"/>
      <c r="H35" s="1"/>
      <c r="I35" s="1"/>
      <c r="J35" s="1"/>
      <c r="K35" s="5"/>
      <c r="L35" s="25">
        <f t="shared" si="46"/>
        <v>0</v>
      </c>
      <c r="M35" s="8"/>
      <c r="N35" s="1"/>
      <c r="O35" s="5"/>
      <c r="P35" s="5"/>
      <c r="Q35" s="5"/>
      <c r="R35" s="25">
        <f t="shared" si="47"/>
        <v>0</v>
      </c>
      <c r="S35" s="8"/>
      <c r="T35" s="1"/>
      <c r="U35" s="5"/>
      <c r="V35" s="26">
        <f t="shared" si="48"/>
        <v>0</v>
      </c>
      <c r="W35" s="297"/>
      <c r="X35" s="21">
        <f>Провиант!B34</f>
        <v>0</v>
      </c>
      <c r="Y35" s="1">
        <f>Провиант!C34</f>
        <v>0</v>
      </c>
      <c r="Z35" s="9">
        <f>Провиант!D34</f>
        <v>0</v>
      </c>
      <c r="AA35" s="8">
        <f>Энергия!B35</f>
        <v>0</v>
      </c>
      <c r="AB35" s="1">
        <f>Энергия!D35</f>
        <v>0</v>
      </c>
      <c r="AC35" s="1">
        <f>Энергия!W35</f>
        <v>37</v>
      </c>
      <c r="AD35" s="1">
        <f>Энергия!X35</f>
        <v>0</v>
      </c>
      <c r="AE35" s="9">
        <f>Энергия!Y35</f>
        <v>-37</v>
      </c>
      <c r="AF35" s="8"/>
      <c r="AG35" s="119"/>
      <c r="AH35" s="1"/>
      <c r="AI35" s="1"/>
      <c r="AJ35" s="1"/>
      <c r="AK35" s="1"/>
      <c r="AL35" s="5"/>
      <c r="AM35" s="9"/>
      <c r="AN35" s="42"/>
      <c r="AO35" s="75"/>
      <c r="AP35" s="80"/>
      <c r="AQ35" s="8"/>
      <c r="AR35" s="31"/>
      <c r="AS35" s="31"/>
      <c r="AT35" s="31"/>
      <c r="AU35" s="31"/>
      <c r="AV35" s="31"/>
      <c r="AW35" s="31"/>
      <c r="AX35" s="31"/>
      <c r="AY35" s="31"/>
      <c r="AZ35" s="31"/>
      <c r="BA35" s="35"/>
      <c r="BB35" s="268">
        <f t="shared" si="23"/>
        <v>1</v>
      </c>
    </row>
    <row r="36" spans="1:54" s="3" customFormat="1" ht="21" customHeight="1" x14ac:dyDescent="0.25">
      <c r="A36" s="59" t="s">
        <v>220</v>
      </c>
      <c r="B36" s="234" t="s">
        <v>223</v>
      </c>
      <c r="C36" s="6"/>
      <c r="D36" s="2"/>
      <c r="E36" s="4"/>
      <c r="F36" s="26">
        <f t="shared" si="49"/>
        <v>0</v>
      </c>
      <c r="G36" s="6"/>
      <c r="H36" s="2"/>
      <c r="I36" s="2"/>
      <c r="J36" s="2"/>
      <c r="K36" s="4"/>
      <c r="L36" s="25">
        <f t="shared" si="46"/>
        <v>0</v>
      </c>
      <c r="M36" s="6"/>
      <c r="N36" s="2"/>
      <c r="O36" s="4"/>
      <c r="P36" s="4"/>
      <c r="Q36" s="4"/>
      <c r="R36" s="25">
        <f t="shared" si="47"/>
        <v>0</v>
      </c>
      <c r="S36" s="6"/>
      <c r="T36" s="2"/>
      <c r="U36" s="4"/>
      <c r="V36" s="26">
        <f t="shared" si="48"/>
        <v>0</v>
      </c>
      <c r="W36" s="296"/>
      <c r="X36" s="20">
        <f>Провиант!B35</f>
        <v>0</v>
      </c>
      <c r="Y36" s="13">
        <f>Провиант!C35</f>
        <v>0</v>
      </c>
      <c r="Z36" s="14">
        <f>Провиант!D35</f>
        <v>0</v>
      </c>
      <c r="AA36" s="6">
        <f>Энергия!B36</f>
        <v>0</v>
      </c>
      <c r="AB36" s="2">
        <f>Энергия!D36</f>
        <v>0</v>
      </c>
      <c r="AC36" s="2">
        <f>Энергия!W36</f>
        <v>34</v>
      </c>
      <c r="AD36" s="2">
        <f>Энергия!X36</f>
        <v>0</v>
      </c>
      <c r="AE36" s="7">
        <f>Энергия!Y36</f>
        <v>-34</v>
      </c>
      <c r="AF36" s="15"/>
      <c r="AG36" s="20"/>
      <c r="AH36" s="13"/>
      <c r="AI36" s="13"/>
      <c r="AJ36" s="13"/>
      <c r="AK36" s="13"/>
      <c r="AL36" s="18"/>
      <c r="AM36" s="14"/>
      <c r="AN36" s="40"/>
      <c r="AO36" s="249"/>
      <c r="AP36" s="76"/>
      <c r="AQ36" s="6"/>
      <c r="AR36" s="32"/>
      <c r="AS36" s="32"/>
      <c r="AT36" s="32"/>
      <c r="AU36" s="32"/>
      <c r="AV36" s="32"/>
      <c r="AW36" s="32"/>
      <c r="AX36" s="32"/>
      <c r="AY36" s="32"/>
      <c r="AZ36" s="32"/>
      <c r="BA36" s="36"/>
      <c r="BB36" s="268">
        <f t="shared" si="23"/>
        <v>1</v>
      </c>
    </row>
    <row r="37" spans="1:54" ht="21" customHeight="1" thickBot="1" x14ac:dyDescent="0.3">
      <c r="A37" s="278" t="s">
        <v>221</v>
      </c>
      <c r="B37" s="279" t="s">
        <v>222</v>
      </c>
      <c r="C37" s="283"/>
      <c r="D37" s="281"/>
      <c r="E37" s="282"/>
      <c r="F37" s="27">
        <f t="shared" ref="F37" si="50">SUM(C37:E37)</f>
        <v>0</v>
      </c>
      <c r="G37" s="283"/>
      <c r="H37" s="281"/>
      <c r="I37" s="281"/>
      <c r="J37" s="281"/>
      <c r="K37" s="282"/>
      <c r="L37" s="308">
        <f t="shared" ref="L37" si="51">SUM(G37:K37)</f>
        <v>0</v>
      </c>
      <c r="M37" s="283"/>
      <c r="N37" s="281"/>
      <c r="O37" s="282"/>
      <c r="P37" s="282"/>
      <c r="Q37" s="282"/>
      <c r="R37" s="308">
        <f t="shared" ref="R37" si="52">SUM(M37:Q37)</f>
        <v>0</v>
      </c>
      <c r="S37" s="283"/>
      <c r="T37" s="281"/>
      <c r="U37" s="282"/>
      <c r="V37" s="27">
        <f t="shared" ref="V37" si="53">SUM(S37:U37)</f>
        <v>0</v>
      </c>
      <c r="W37" s="336"/>
      <c r="X37" s="280">
        <f>Провиант!B36</f>
        <v>0</v>
      </c>
      <c r="Y37" s="281">
        <f>Провиант!C36</f>
        <v>0</v>
      </c>
      <c r="Z37" s="284">
        <f>Провиант!D36</f>
        <v>0</v>
      </c>
      <c r="AA37" s="283">
        <f>Энергия!B37</f>
        <v>0</v>
      </c>
      <c r="AB37" s="281">
        <f>Энергия!D37</f>
        <v>0</v>
      </c>
      <c r="AC37" s="281">
        <f>Энергия!W37</f>
        <v>29</v>
      </c>
      <c r="AD37" s="281">
        <f>Энергия!X37</f>
        <v>0</v>
      </c>
      <c r="AE37" s="284">
        <f>Энергия!Y37</f>
        <v>-29</v>
      </c>
      <c r="AF37" s="283"/>
      <c r="AG37" s="337"/>
      <c r="AH37" s="281"/>
      <c r="AI37" s="281"/>
      <c r="AJ37" s="281"/>
      <c r="AK37" s="281"/>
      <c r="AL37" s="282"/>
      <c r="AM37" s="284"/>
      <c r="AN37" s="292"/>
      <c r="AO37" s="285"/>
      <c r="AP37" s="286"/>
      <c r="AQ37" s="283"/>
      <c r="AR37" s="300"/>
      <c r="AS37" s="300"/>
      <c r="AT37" s="300"/>
      <c r="AU37" s="300"/>
      <c r="AV37" s="300"/>
      <c r="AW37" s="300"/>
      <c r="AX37" s="300"/>
      <c r="AY37" s="300"/>
      <c r="AZ37" s="300"/>
      <c r="BA37" s="301"/>
      <c r="BB37" s="246">
        <f t="shared" si="23"/>
        <v>1</v>
      </c>
    </row>
    <row r="38" spans="1:54" s="3" customFormat="1" ht="21" customHeight="1" x14ac:dyDescent="0.25">
      <c r="A38" s="232"/>
      <c r="B38" s="64"/>
      <c r="C38" s="15"/>
      <c r="D38" s="13"/>
      <c r="E38" s="18"/>
      <c r="F38" s="25"/>
      <c r="G38" s="15"/>
      <c r="H38" s="13"/>
      <c r="I38" s="13"/>
      <c r="J38" s="13"/>
      <c r="K38" s="18"/>
      <c r="L38" s="25"/>
      <c r="M38" s="15"/>
      <c r="N38" s="13"/>
      <c r="O38" s="18"/>
      <c r="P38" s="18"/>
      <c r="Q38" s="18"/>
      <c r="R38" s="25"/>
      <c r="S38" s="15"/>
      <c r="T38" s="13"/>
      <c r="U38" s="18"/>
      <c r="V38" s="25"/>
      <c r="W38" s="20"/>
      <c r="X38" s="13"/>
      <c r="Y38" s="13"/>
      <c r="Z38" s="14"/>
      <c r="AA38" s="15"/>
      <c r="AB38" s="13"/>
      <c r="AC38" s="13"/>
      <c r="AD38" s="13"/>
      <c r="AE38" s="14"/>
      <c r="AF38" s="15"/>
      <c r="AG38" s="13"/>
      <c r="AH38" s="13"/>
      <c r="AI38" s="13"/>
      <c r="AJ38" s="13"/>
      <c r="AK38" s="13"/>
      <c r="AL38" s="18"/>
      <c r="AM38" s="14"/>
      <c r="AN38" s="290"/>
      <c r="AO38" s="249"/>
      <c r="AP38" s="106"/>
      <c r="AQ38" s="15"/>
      <c r="AR38" s="29"/>
      <c r="AS38" s="29"/>
      <c r="AT38" s="29"/>
      <c r="AU38" s="29"/>
      <c r="AV38" s="29"/>
      <c r="AW38" s="29"/>
      <c r="AX38" s="29"/>
      <c r="AY38" s="29"/>
      <c r="AZ38" s="29"/>
      <c r="BA38" s="34"/>
      <c r="BB38" s="268">
        <f t="shared" si="23"/>
        <v>1</v>
      </c>
    </row>
    <row r="39" spans="1:54" ht="21" customHeight="1" x14ac:dyDescent="0.25">
      <c r="A39" s="58"/>
      <c r="B39" s="233"/>
      <c r="C39" s="8"/>
      <c r="D39" s="1"/>
      <c r="E39" s="5"/>
      <c r="F39" s="26"/>
      <c r="G39" s="8"/>
      <c r="H39" s="1"/>
      <c r="I39" s="1"/>
      <c r="J39" s="1"/>
      <c r="K39" s="5"/>
      <c r="L39" s="26"/>
      <c r="M39" s="8"/>
      <c r="N39" s="1"/>
      <c r="O39" s="5"/>
      <c r="P39" s="5"/>
      <c r="Q39" s="5"/>
      <c r="R39" s="26"/>
      <c r="S39" s="8"/>
      <c r="T39" s="1"/>
      <c r="U39" s="5"/>
      <c r="V39" s="26"/>
      <c r="W39" s="21"/>
      <c r="X39" s="1"/>
      <c r="Y39" s="1"/>
      <c r="Z39" s="9"/>
      <c r="AA39" s="8"/>
      <c r="AB39" s="1"/>
      <c r="AC39" s="1"/>
      <c r="AD39" s="1"/>
      <c r="AE39" s="9"/>
      <c r="AF39" s="8"/>
      <c r="AG39" s="1"/>
      <c r="AH39" s="1"/>
      <c r="AI39" s="1"/>
      <c r="AJ39" s="1"/>
      <c r="AK39" s="1"/>
      <c r="AL39" s="5"/>
      <c r="AM39" s="9"/>
      <c r="AN39" s="42"/>
      <c r="AO39" s="75"/>
      <c r="AP39" s="80"/>
      <c r="AQ39" s="8"/>
      <c r="AR39" s="31"/>
      <c r="AS39" s="31"/>
      <c r="AT39" s="31"/>
      <c r="AU39" s="31"/>
      <c r="AV39" s="31"/>
      <c r="AW39" s="31"/>
      <c r="AX39" s="31"/>
      <c r="AY39" s="31"/>
      <c r="AZ39" s="31"/>
      <c r="BA39" s="35"/>
      <c r="BB39" s="268">
        <f t="shared" si="23"/>
        <v>1</v>
      </c>
    </row>
    <row r="40" spans="1:54" s="3" customFormat="1" ht="21" customHeight="1" x14ac:dyDescent="0.25">
      <c r="A40" s="59"/>
      <c r="B40" s="234"/>
      <c r="C40" s="6"/>
      <c r="D40" s="2"/>
      <c r="E40" s="4"/>
      <c r="F40" s="26"/>
      <c r="G40" s="6"/>
      <c r="H40" s="2"/>
      <c r="I40" s="2"/>
      <c r="J40" s="2"/>
      <c r="K40" s="4"/>
      <c r="L40" s="26"/>
      <c r="M40" s="6"/>
      <c r="N40" s="2"/>
      <c r="O40" s="4"/>
      <c r="P40" s="4"/>
      <c r="Q40" s="4"/>
      <c r="R40" s="26"/>
      <c r="S40" s="6"/>
      <c r="T40" s="2"/>
      <c r="U40" s="4"/>
      <c r="V40" s="26"/>
      <c r="W40" s="22"/>
      <c r="X40" s="2"/>
      <c r="Y40" s="2"/>
      <c r="Z40" s="7"/>
      <c r="AA40" s="6"/>
      <c r="AB40" s="2"/>
      <c r="AC40" s="2"/>
      <c r="AD40" s="2"/>
      <c r="AE40" s="7"/>
      <c r="AF40" s="6"/>
      <c r="AG40" s="2"/>
      <c r="AH40" s="2"/>
      <c r="AI40" s="2"/>
      <c r="AJ40" s="2"/>
      <c r="AK40" s="2"/>
      <c r="AL40" s="4"/>
      <c r="AM40" s="7"/>
      <c r="AN40" s="40"/>
      <c r="AO40" s="77"/>
      <c r="AP40" s="76"/>
      <c r="AQ40" s="6"/>
      <c r="AR40" s="32"/>
      <c r="AS40" s="32"/>
      <c r="AT40" s="32"/>
      <c r="AU40" s="32"/>
      <c r="AV40" s="32"/>
      <c r="AW40" s="32"/>
      <c r="AX40" s="32"/>
      <c r="AY40" s="32"/>
      <c r="AZ40" s="32"/>
      <c r="BA40" s="36"/>
      <c r="BB40" s="268">
        <f t="shared" si="23"/>
        <v>1</v>
      </c>
    </row>
    <row r="41" spans="1:54" ht="21" customHeight="1" x14ac:dyDescent="0.25">
      <c r="A41" s="58"/>
      <c r="B41" s="233"/>
      <c r="C41" s="8"/>
      <c r="D41" s="1"/>
      <c r="E41" s="5"/>
      <c r="F41" s="26"/>
      <c r="G41" s="8"/>
      <c r="H41" s="1"/>
      <c r="I41" s="1"/>
      <c r="J41" s="1"/>
      <c r="K41" s="5"/>
      <c r="L41" s="26"/>
      <c r="M41" s="8"/>
      <c r="N41" s="1"/>
      <c r="O41" s="5"/>
      <c r="P41" s="5"/>
      <c r="Q41" s="5"/>
      <c r="R41" s="26"/>
      <c r="S41" s="8"/>
      <c r="T41" s="1"/>
      <c r="U41" s="5"/>
      <c r="V41" s="26"/>
      <c r="W41" s="21"/>
      <c r="X41" s="1"/>
      <c r="Y41" s="1"/>
      <c r="Z41" s="9"/>
      <c r="AA41" s="8"/>
      <c r="AB41" s="1"/>
      <c r="AC41" s="1"/>
      <c r="AD41" s="1"/>
      <c r="AE41" s="9"/>
      <c r="AF41" s="8"/>
      <c r="AG41" s="1"/>
      <c r="AH41" s="1"/>
      <c r="AI41" s="1"/>
      <c r="AJ41" s="1"/>
      <c r="AK41" s="1"/>
      <c r="AL41" s="5"/>
      <c r="AM41" s="9"/>
      <c r="AN41" s="42"/>
      <c r="AO41" s="75"/>
      <c r="AP41" s="80"/>
      <c r="AQ41" s="8"/>
      <c r="AR41" s="31"/>
      <c r="AS41" s="31"/>
      <c r="AT41" s="31"/>
      <c r="AU41" s="31"/>
      <c r="AV41" s="31"/>
      <c r="AW41" s="31"/>
      <c r="AX41" s="31"/>
      <c r="AY41" s="31"/>
      <c r="AZ41" s="31"/>
      <c r="BA41" s="35"/>
      <c r="BB41" s="268">
        <f t="shared" si="23"/>
        <v>1</v>
      </c>
    </row>
    <row r="42" spans="1:54" s="3" customFormat="1" ht="21" customHeight="1" thickBot="1" x14ac:dyDescent="0.3">
      <c r="A42" s="60"/>
      <c r="B42" s="235"/>
      <c r="C42" s="10"/>
      <c r="D42" s="11"/>
      <c r="E42" s="19"/>
      <c r="F42" s="27"/>
      <c r="G42" s="10"/>
      <c r="H42" s="11"/>
      <c r="I42" s="11"/>
      <c r="J42" s="11"/>
      <c r="K42" s="19"/>
      <c r="L42" s="27"/>
      <c r="M42" s="10"/>
      <c r="N42" s="11"/>
      <c r="O42" s="19"/>
      <c r="P42" s="19"/>
      <c r="Q42" s="19"/>
      <c r="R42" s="27"/>
      <c r="S42" s="10"/>
      <c r="T42" s="11"/>
      <c r="U42" s="19"/>
      <c r="V42" s="27"/>
      <c r="W42" s="23"/>
      <c r="X42" s="11"/>
      <c r="Y42" s="11"/>
      <c r="Z42" s="12"/>
      <c r="AA42" s="10"/>
      <c r="AB42" s="11"/>
      <c r="AC42" s="11"/>
      <c r="AD42" s="11"/>
      <c r="AE42" s="12"/>
      <c r="AF42" s="10"/>
      <c r="AG42" s="11"/>
      <c r="AH42" s="11"/>
      <c r="AI42" s="11"/>
      <c r="AJ42" s="11"/>
      <c r="AK42" s="11"/>
      <c r="AL42" s="19"/>
      <c r="AM42" s="12"/>
      <c r="AN42" s="43"/>
      <c r="AO42" s="78"/>
      <c r="AP42" s="79"/>
      <c r="AQ42" s="10"/>
      <c r="AR42" s="33"/>
      <c r="AS42" s="33"/>
      <c r="AT42" s="33"/>
      <c r="AU42" s="33"/>
      <c r="AV42" s="33"/>
      <c r="AW42" s="33"/>
      <c r="AX42" s="33"/>
      <c r="AY42" s="33"/>
      <c r="AZ42" s="33"/>
      <c r="BA42" s="37"/>
      <c r="BB42" s="246">
        <f t="shared" si="23"/>
        <v>1</v>
      </c>
    </row>
    <row r="43" spans="1:54" x14ac:dyDescent="0.25">
      <c r="AN43" s="39"/>
      <c r="AO43" s="39"/>
      <c r="AP43" s="39"/>
    </row>
    <row r="44" spans="1:54" x14ac:dyDescent="0.25">
      <c r="AN44" s="39"/>
      <c r="AO44" s="39"/>
      <c r="AP44" s="39"/>
    </row>
    <row r="45" spans="1:54" x14ac:dyDescent="0.25">
      <c r="AN45" s="39"/>
      <c r="AO45" s="39"/>
      <c r="AP45" s="39"/>
    </row>
    <row r="46" spans="1:54" x14ac:dyDescent="0.25">
      <c r="AN46" s="39"/>
      <c r="AO46" s="39"/>
      <c r="AP46" s="39"/>
    </row>
    <row r="47" spans="1:54" x14ac:dyDescent="0.25">
      <c r="AN47" s="39"/>
      <c r="AO47" s="39"/>
      <c r="AP47" s="39"/>
    </row>
    <row r="48" spans="1:54" x14ac:dyDescent="0.25">
      <c r="AN48" s="39"/>
      <c r="AO48" s="39"/>
      <c r="AP48" s="39"/>
    </row>
    <row r="49" spans="1:54" x14ac:dyDescent="0.25">
      <c r="AN49" s="39"/>
      <c r="AO49" s="39"/>
      <c r="AP49" s="39"/>
    </row>
    <row r="50" spans="1:54" x14ac:dyDescent="0.25">
      <c r="AN50" s="39"/>
      <c r="AO50" s="39"/>
      <c r="AP50" s="39"/>
    </row>
    <row r="51" spans="1:54" x14ac:dyDescent="0.25">
      <c r="AN51" s="39"/>
      <c r="AO51" s="39"/>
      <c r="AP51" s="39"/>
    </row>
    <row r="52" spans="1:54" x14ac:dyDescent="0.25">
      <c r="AN52" s="39"/>
      <c r="AO52" s="39"/>
      <c r="AP52" s="39"/>
    </row>
    <row r="53" spans="1:54" x14ac:dyDescent="0.25">
      <c r="AN53" s="39"/>
      <c r="AO53" s="39"/>
      <c r="AP53" s="39"/>
    </row>
    <row r="54" spans="1:54" x14ac:dyDescent="0.25">
      <c r="AN54" s="39"/>
      <c r="AO54" s="39"/>
      <c r="AP54" s="39"/>
    </row>
    <row r="55" spans="1:54" x14ac:dyDescent="0.25">
      <c r="AN55" s="39"/>
      <c r="AO55" s="39"/>
      <c r="AP55" s="39"/>
    </row>
    <row r="56" spans="1:54" x14ac:dyDescent="0.25">
      <c r="AN56" s="39"/>
      <c r="AO56" s="39"/>
      <c r="AP56" s="39"/>
    </row>
    <row r="57" spans="1:54" x14ac:dyDescent="0.25">
      <c r="AN57" s="39"/>
      <c r="AO57" s="39"/>
      <c r="AP57" s="39"/>
    </row>
    <row r="58" spans="1:54" x14ac:dyDescent="0.25">
      <c r="AN58" s="39"/>
      <c r="AO58" s="39"/>
      <c r="AP58" s="39"/>
    </row>
    <row r="59" spans="1:54" ht="15.75" thickBot="1" x14ac:dyDescent="0.3">
      <c r="AN59" s="39"/>
      <c r="AO59" s="39">
        <f>SUM(AO4:AO12)</f>
        <v>61809952.072000004</v>
      </c>
      <c r="AP59" s="39"/>
    </row>
    <row r="60" spans="1:54" ht="45" x14ac:dyDescent="0.25">
      <c r="A60" s="58" t="s">
        <v>180</v>
      </c>
      <c r="B60" s="233" t="s">
        <v>187</v>
      </c>
      <c r="M60" s="51"/>
      <c r="N60" s="51"/>
      <c r="O60" s="51"/>
      <c r="P60" s="51"/>
      <c r="Q60" s="51"/>
      <c r="AN60" s="39"/>
      <c r="AQ60" s="240"/>
      <c r="AR60" s="241">
        <v>0.18</v>
      </c>
      <c r="AS60" s="241">
        <v>0.31</v>
      </c>
      <c r="AT60" s="241">
        <v>7.0000000000000007E-2</v>
      </c>
      <c r="AU60" s="241">
        <v>0.1</v>
      </c>
      <c r="AV60" s="241">
        <v>0.22</v>
      </c>
      <c r="AW60" s="241">
        <v>0.12</v>
      </c>
      <c r="AX60" s="241"/>
      <c r="AY60" s="241"/>
      <c r="AZ60" s="241"/>
      <c r="BA60" s="241"/>
      <c r="BB60" s="245">
        <f>1-SUM(AR60:BA60)</f>
        <v>0</v>
      </c>
    </row>
    <row r="61" spans="1:54" ht="30.75" thickBot="1" x14ac:dyDescent="0.3">
      <c r="A61" s="60" t="s">
        <v>181</v>
      </c>
      <c r="B61" s="234" t="s">
        <v>186</v>
      </c>
      <c r="M61" s="51"/>
      <c r="N61" s="51"/>
      <c r="O61" s="51"/>
      <c r="P61" s="51"/>
      <c r="Q61" s="51"/>
      <c r="AN61" s="39"/>
      <c r="AQ61" s="242"/>
      <c r="AR61" s="32"/>
      <c r="AS61" s="32">
        <v>0.1</v>
      </c>
      <c r="AT61" s="32">
        <v>0.05</v>
      </c>
      <c r="AU61" s="32">
        <v>0.44</v>
      </c>
      <c r="AV61" s="32">
        <v>0.26</v>
      </c>
      <c r="AW61" s="32">
        <v>0.13</v>
      </c>
      <c r="AX61" s="32"/>
      <c r="AY61" s="32">
        <v>0.02</v>
      </c>
      <c r="AZ61" s="32"/>
      <c r="BA61" s="32"/>
      <c r="BB61" s="30">
        <f>1-SUM(AR61:BA61)</f>
        <v>0</v>
      </c>
    </row>
    <row r="62" spans="1:54" ht="45" x14ac:dyDescent="0.25">
      <c r="A62" s="58" t="s">
        <v>182</v>
      </c>
      <c r="B62" s="233" t="s">
        <v>185</v>
      </c>
      <c r="M62" s="51"/>
      <c r="N62" s="51"/>
      <c r="O62" s="51"/>
      <c r="P62" s="51"/>
      <c r="Q62" s="51"/>
      <c r="AN62" s="39"/>
      <c r="AQ62" s="243"/>
      <c r="AR62" s="31">
        <v>0.15</v>
      </c>
      <c r="AS62" s="31">
        <v>0.04</v>
      </c>
      <c r="AT62" s="31">
        <v>0.02</v>
      </c>
      <c r="AU62" s="31">
        <v>0.18</v>
      </c>
      <c r="AV62" s="31">
        <v>0.36</v>
      </c>
      <c r="AW62" s="31">
        <v>0.21</v>
      </c>
      <c r="AX62" s="31"/>
      <c r="AY62" s="31">
        <v>0.04</v>
      </c>
      <c r="AZ62" s="31"/>
      <c r="BA62" s="31"/>
      <c r="BB62" s="30">
        <f>1-SUM(AR62:BA62)</f>
        <v>0</v>
      </c>
    </row>
    <row r="63" spans="1:54" ht="45.75" thickBot="1" x14ac:dyDescent="0.3">
      <c r="A63" s="60" t="s">
        <v>183</v>
      </c>
      <c r="B63" s="234" t="s">
        <v>184</v>
      </c>
      <c r="M63" s="51"/>
      <c r="N63" s="51"/>
      <c r="O63" s="51"/>
      <c r="P63" s="51"/>
      <c r="Q63" s="51"/>
      <c r="AN63" s="39"/>
      <c r="AQ63" s="244"/>
      <c r="AR63" s="33"/>
      <c r="AS63" s="33">
        <v>0.04</v>
      </c>
      <c r="AT63" s="33">
        <v>0.09</v>
      </c>
      <c r="AU63" s="33">
        <v>0.14000000000000001</v>
      </c>
      <c r="AV63" s="33">
        <v>0.09</v>
      </c>
      <c r="AW63" s="33">
        <v>0.17</v>
      </c>
      <c r="AX63" s="33">
        <v>0.09</v>
      </c>
      <c r="AY63" s="33">
        <v>0.38</v>
      </c>
      <c r="AZ63" s="33"/>
      <c r="BA63" s="33"/>
      <c r="BB63" s="246">
        <f>1-SUM(AR63:BA63)</f>
        <v>0</v>
      </c>
    </row>
    <row r="64" spans="1:54" x14ac:dyDescent="0.25">
      <c r="M64" s="51">
        <f>M12-SUM(M60:M63)</f>
        <v>23</v>
      </c>
      <c r="N64" s="51">
        <f t="shared" ref="N64:Q64" si="54">N12-SUM(N60:N63)</f>
        <v>0</v>
      </c>
      <c r="O64" s="51"/>
      <c r="P64" s="51">
        <f t="shared" ref="P64" si="55">P12-SUM(P60:P63)</f>
        <v>0</v>
      </c>
      <c r="Q64" s="51">
        <f t="shared" si="54"/>
        <v>0</v>
      </c>
    </row>
    <row r="71" spans="22:33" x14ac:dyDescent="0.25">
      <c r="V71">
        <f>5000000/350</f>
        <v>14285.714285714286</v>
      </c>
      <c r="X71" s="44">
        <f>V71*1500*2.5/2000</f>
        <v>26785.714285714286</v>
      </c>
      <c r="Y71" s="44"/>
      <c r="Z71" s="44"/>
      <c r="AA71" s="44"/>
      <c r="AB71" s="44"/>
      <c r="AC71" s="44"/>
      <c r="AD71" s="44"/>
      <c r="AE71" s="44"/>
      <c r="AF71" s="39">
        <f>X71*12</f>
        <v>321428.57142857142</v>
      </c>
      <c r="AG71" s="39"/>
    </row>
  </sheetData>
  <sortState xmlns:xlrd2="http://schemas.microsoft.com/office/spreadsheetml/2017/richdata2" ref="A4:U12">
    <sortCondition ref="A4:A12"/>
  </sortState>
  <mergeCells count="11">
    <mergeCell ref="A1:A2"/>
    <mergeCell ref="AQ1:BB1"/>
    <mergeCell ref="C1:F1"/>
    <mergeCell ref="AF1:AM1"/>
    <mergeCell ref="B1:B2"/>
    <mergeCell ref="AN1:AN2"/>
    <mergeCell ref="AO1:AP1"/>
    <mergeCell ref="S1:Z1"/>
    <mergeCell ref="AA1:AE1"/>
    <mergeCell ref="M1:R1"/>
    <mergeCell ref="G1:L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E65-EAF7-411E-AD3B-DE11540F6651}">
  <sheetPr codeName="Лист2"/>
  <dimension ref="A1:AA186"/>
  <sheetViews>
    <sheetView zoomScale="130" zoomScaleNormal="130" workbookViewId="0">
      <pane xSplit="1" ySplit="2" topLeftCell="B7" activePane="bottomRight" state="frozen"/>
      <selection pane="topRight" activeCell="B1" sqref="B1"/>
      <selection pane="bottomLeft" activeCell="A3" sqref="A3"/>
      <selection pane="bottomRight" activeCell="G13" sqref="G13"/>
    </sheetView>
  </sheetViews>
  <sheetFormatPr defaultRowHeight="15" x14ac:dyDescent="0.25"/>
  <cols>
    <col min="1" max="1" width="14" customWidth="1"/>
    <col min="2" max="2" width="9.7109375" customWidth="1"/>
    <col min="3" max="3" width="12.85546875" customWidth="1"/>
    <col min="4" max="4" width="10.7109375" bestFit="1" customWidth="1"/>
    <col min="5" max="5" width="14.7109375" bestFit="1" customWidth="1"/>
    <col min="6" max="7" width="14.7109375" customWidth="1"/>
    <col min="8" max="8" width="14.5703125" bestFit="1" customWidth="1"/>
    <col min="9" max="9" width="14.5703125" customWidth="1"/>
    <col min="10" max="10" width="11.5703125" bestFit="1" customWidth="1"/>
    <col min="11" max="11" width="14.85546875" customWidth="1"/>
    <col min="12" max="12" width="12.85546875" bestFit="1" customWidth="1"/>
    <col min="13" max="13" width="8.5703125" bestFit="1" customWidth="1"/>
    <col min="14" max="14" width="13" customWidth="1"/>
    <col min="15" max="15" width="12.7109375" bestFit="1" customWidth="1"/>
    <col min="16" max="16" width="10.5703125" bestFit="1" customWidth="1"/>
    <col min="17" max="17" width="12.7109375" customWidth="1"/>
    <col min="18" max="18" width="15.140625" style="51" customWidth="1"/>
    <col min="19" max="19" width="14" customWidth="1"/>
    <col min="20" max="20" width="14.140625" customWidth="1"/>
    <col min="21" max="21" width="16.7109375" customWidth="1"/>
    <col min="25" max="25" width="11.42578125" style="51" bestFit="1" customWidth="1"/>
    <col min="26" max="27" width="9.140625" style="51"/>
  </cols>
  <sheetData>
    <row r="1" spans="1:19" ht="15.75" thickBot="1" x14ac:dyDescent="0.3">
      <c r="A1" s="357" t="s">
        <v>9</v>
      </c>
      <c r="B1" s="355" t="s">
        <v>45</v>
      </c>
      <c r="C1" s="355" t="s">
        <v>87</v>
      </c>
      <c r="D1" s="355" t="s">
        <v>55</v>
      </c>
      <c r="E1" s="348" t="s">
        <v>41</v>
      </c>
      <c r="F1" s="352" t="s">
        <v>90</v>
      </c>
      <c r="G1" s="353"/>
      <c r="H1" s="353"/>
      <c r="I1" s="354"/>
    </row>
    <row r="2" spans="1:19" ht="39" thickBot="1" x14ac:dyDescent="0.3">
      <c r="A2" s="358"/>
      <c r="B2" s="356"/>
      <c r="C2" s="356"/>
      <c r="D2" s="356"/>
      <c r="E2" s="349"/>
      <c r="F2" s="56" t="s">
        <v>59</v>
      </c>
      <c r="G2" s="57" t="s">
        <v>47</v>
      </c>
      <c r="H2" s="99" t="s">
        <v>43</v>
      </c>
      <c r="I2" s="99" t="s">
        <v>46</v>
      </c>
      <c r="L2" s="70" t="s">
        <v>54</v>
      </c>
      <c r="M2" s="70" t="s">
        <v>55</v>
      </c>
      <c r="N2" s="70" t="s">
        <v>59</v>
      </c>
      <c r="O2" s="70" t="s">
        <v>47</v>
      </c>
      <c r="P2" s="70" t="s">
        <v>43</v>
      </c>
      <c r="Q2" s="70" t="s">
        <v>46</v>
      </c>
      <c r="R2" s="70" t="s">
        <v>58</v>
      </c>
      <c r="S2" s="70" t="s">
        <v>97</v>
      </c>
    </row>
    <row r="3" spans="1:19" ht="15.75" customHeight="1" x14ac:dyDescent="0.25">
      <c r="A3" s="61" t="s">
        <v>5</v>
      </c>
      <c r="B3" s="62">
        <v>3</v>
      </c>
      <c r="C3" s="62">
        <v>3</v>
      </c>
      <c r="D3" s="62"/>
      <c r="E3" s="48">
        <f>База!AN4</f>
        <v>18846379</v>
      </c>
      <c r="F3" s="48">
        <f>(H3+I3)*2</f>
        <v>1892519.4</v>
      </c>
      <c r="G3" s="95">
        <f t="shared" ref="G3:G11" si="0">E3*127/12000</f>
        <v>199457.51108333335</v>
      </c>
      <c r="H3" s="48">
        <f t="shared" ref="H3:H11" si="1">B3*$B$39</f>
        <v>900000</v>
      </c>
      <c r="I3" s="48">
        <f t="shared" ref="I3:I11" si="2">C3*$C$39</f>
        <v>46259.7</v>
      </c>
      <c r="J3" s="101">
        <f>H3+I3*12</f>
        <v>1455116.4</v>
      </c>
      <c r="K3" s="100">
        <f>G3*12</f>
        <v>2393490.1330000004</v>
      </c>
      <c r="L3" s="71" t="s">
        <v>5</v>
      </c>
      <c r="M3" s="72">
        <f>SUMIF($A$3:$A$37,$L$3,D$3:D$37)</f>
        <v>0</v>
      </c>
      <c r="N3" s="72">
        <f>SUMIF($A$3:$A$37,$L$3,F$3:F$37)</f>
        <v>1892519.4</v>
      </c>
      <c r="O3" s="72">
        <f>SUMIF($A$3:$A$37,$L$3,G$3:G$37)</f>
        <v>199457.51108333335</v>
      </c>
      <c r="P3" s="72">
        <f>SUMIF($A$3:$A$37,$L$3,H$3:H$37)</f>
        <v>900000</v>
      </c>
      <c r="Q3" s="72">
        <f>SUMIF($A$3:$A$37,$L$3,I$3:I$37)</f>
        <v>46259.7</v>
      </c>
      <c r="R3" s="110">
        <v>0.7</v>
      </c>
      <c r="S3" s="110">
        <f>IF(SUMIF($A$3:$A$37,$L$3,Энергия!Z3:Z48)&lt;1,(1-SUMIF($A$3:$A$37,$L$3,Энергия!Z3:Z48))*-0.5,0)</f>
        <v>-0.20887918486171758</v>
      </c>
    </row>
    <row r="4" spans="1:19" x14ac:dyDescent="0.25">
      <c r="A4" s="58" t="s">
        <v>0</v>
      </c>
      <c r="B4" s="63">
        <v>5</v>
      </c>
      <c r="C4" s="63">
        <v>10</v>
      </c>
      <c r="D4" s="63"/>
      <c r="E4" s="42">
        <f>База!AN5</f>
        <v>75685389</v>
      </c>
      <c r="F4" s="42">
        <f>(H4+I4)*2</f>
        <v>3308398</v>
      </c>
      <c r="G4" s="96">
        <f t="shared" si="0"/>
        <v>801003.70024999999</v>
      </c>
      <c r="H4" s="42">
        <f t="shared" si="1"/>
        <v>1500000</v>
      </c>
      <c r="I4" s="42">
        <f t="shared" si="2"/>
        <v>154199</v>
      </c>
      <c r="J4" s="101">
        <f t="shared" ref="J4:J36" si="3">H4+I4*12</f>
        <v>3350388</v>
      </c>
      <c r="K4" s="100">
        <f>G4*12</f>
        <v>9612044.4030000009</v>
      </c>
    </row>
    <row r="5" spans="1:19" x14ac:dyDescent="0.25">
      <c r="A5" s="59" t="s">
        <v>4</v>
      </c>
      <c r="B5" s="64">
        <v>8</v>
      </c>
      <c r="C5" s="64">
        <v>8</v>
      </c>
      <c r="D5" s="64">
        <v>2</v>
      </c>
      <c r="E5" s="40">
        <f>База!AN6</f>
        <v>65982200</v>
      </c>
      <c r="F5" s="40">
        <f>(H5+I5)*2</f>
        <v>5046718.4000000004</v>
      </c>
      <c r="G5" s="97">
        <f t="shared" si="0"/>
        <v>698311.6166666667</v>
      </c>
      <c r="H5" s="40">
        <f t="shared" si="1"/>
        <v>2400000</v>
      </c>
      <c r="I5" s="40">
        <f t="shared" si="2"/>
        <v>123359.2</v>
      </c>
      <c r="J5" s="101">
        <f t="shared" si="3"/>
        <v>3880310.4</v>
      </c>
      <c r="K5" s="100">
        <f t="shared" ref="K5:K35" si="4">G5*12</f>
        <v>8379739.4000000004</v>
      </c>
      <c r="Q5" s="116">
        <f>Q3+Q3*S3</f>
        <v>36597.011572052405</v>
      </c>
      <c r="S5" s="115"/>
    </row>
    <row r="6" spans="1:19" x14ac:dyDescent="0.25">
      <c r="A6" s="58" t="s">
        <v>1</v>
      </c>
      <c r="B6" s="63">
        <v>5</v>
      </c>
      <c r="C6" s="63">
        <v>20</v>
      </c>
      <c r="D6" s="63"/>
      <c r="E6" s="42">
        <f>База!AN7</f>
        <v>122514165</v>
      </c>
      <c r="F6" s="42">
        <f t="shared" ref="F6:F11" si="5">(H6+I6)*2</f>
        <v>3616796</v>
      </c>
      <c r="G6" s="96">
        <f t="shared" si="0"/>
        <v>1296608.2462500001</v>
      </c>
      <c r="H6" s="42">
        <f t="shared" si="1"/>
        <v>1500000</v>
      </c>
      <c r="I6" s="42">
        <f t="shared" si="2"/>
        <v>308398</v>
      </c>
      <c r="J6" s="101">
        <f t="shared" si="3"/>
        <v>5200776</v>
      </c>
      <c r="K6" s="100">
        <f t="shared" si="4"/>
        <v>15559298.955000002</v>
      </c>
    </row>
    <row r="7" spans="1:19" ht="30" x14ac:dyDescent="0.25">
      <c r="A7" s="59" t="s">
        <v>7</v>
      </c>
      <c r="B7" s="64">
        <v>10</v>
      </c>
      <c r="C7" s="64">
        <v>15</v>
      </c>
      <c r="D7" s="64">
        <v>5</v>
      </c>
      <c r="E7" s="40">
        <f>База!AN8</f>
        <v>79419206</v>
      </c>
      <c r="F7" s="40">
        <f t="shared" si="5"/>
        <v>6462597</v>
      </c>
      <c r="G7" s="97">
        <f t="shared" si="0"/>
        <v>840519.93016666663</v>
      </c>
      <c r="H7" s="40">
        <f t="shared" si="1"/>
        <v>3000000</v>
      </c>
      <c r="I7" s="40">
        <f t="shared" si="2"/>
        <v>231298.5</v>
      </c>
      <c r="J7" s="101">
        <f t="shared" si="3"/>
        <v>5775582</v>
      </c>
      <c r="K7" s="100">
        <f t="shared" si="4"/>
        <v>10086239.162</v>
      </c>
    </row>
    <row r="8" spans="1:19" x14ac:dyDescent="0.25">
      <c r="A8" s="58" t="s">
        <v>2</v>
      </c>
      <c r="B8" s="63">
        <v>8</v>
      </c>
      <c r="C8" s="63">
        <v>23</v>
      </c>
      <c r="D8" s="63">
        <v>3</v>
      </c>
      <c r="E8" s="42">
        <f>База!AN9</f>
        <v>63388546</v>
      </c>
      <c r="F8" s="42">
        <f t="shared" si="5"/>
        <v>5509315.4000000004</v>
      </c>
      <c r="G8" s="96">
        <f t="shared" si="0"/>
        <v>670862.11183333339</v>
      </c>
      <c r="H8" s="42">
        <f t="shared" si="1"/>
        <v>2400000</v>
      </c>
      <c r="I8" s="42">
        <f t="shared" si="2"/>
        <v>354657.7</v>
      </c>
      <c r="J8" s="101">
        <f t="shared" si="3"/>
        <v>6655892.4000000004</v>
      </c>
      <c r="K8" s="100">
        <f t="shared" si="4"/>
        <v>8050345.3420000002</v>
      </c>
    </row>
    <row r="9" spans="1:19" x14ac:dyDescent="0.25">
      <c r="A9" s="59" t="s">
        <v>6</v>
      </c>
      <c r="B9" s="64">
        <v>4</v>
      </c>
      <c r="C9" s="64">
        <v>4</v>
      </c>
      <c r="D9" s="64"/>
      <c r="E9" s="40">
        <f>База!AN10</f>
        <v>22382937</v>
      </c>
      <c r="F9" s="40">
        <f t="shared" si="5"/>
        <v>2523359.2000000002</v>
      </c>
      <c r="G9" s="97">
        <f t="shared" si="0"/>
        <v>236886.08325</v>
      </c>
      <c r="H9" s="40">
        <f t="shared" si="1"/>
        <v>1200000</v>
      </c>
      <c r="I9" s="40">
        <f t="shared" si="2"/>
        <v>61679.6</v>
      </c>
      <c r="J9" s="101">
        <f t="shared" si="3"/>
        <v>1940155.2</v>
      </c>
      <c r="K9" s="100">
        <f t="shared" si="4"/>
        <v>2842632.9989999998</v>
      </c>
    </row>
    <row r="10" spans="1:19" x14ac:dyDescent="0.25">
      <c r="A10" s="58" t="s">
        <v>8</v>
      </c>
      <c r="B10" s="63">
        <v>3</v>
      </c>
      <c r="C10" s="63">
        <v>7</v>
      </c>
      <c r="D10" s="63">
        <v>1</v>
      </c>
      <c r="E10" s="42">
        <f>База!AN11</f>
        <v>20541063</v>
      </c>
      <c r="F10" s="42">
        <f t="shared" si="5"/>
        <v>2015878.6</v>
      </c>
      <c r="G10" s="96">
        <f t="shared" si="0"/>
        <v>217392.91675</v>
      </c>
      <c r="H10" s="42">
        <f t="shared" si="1"/>
        <v>900000</v>
      </c>
      <c r="I10" s="42">
        <f t="shared" si="2"/>
        <v>107939.3</v>
      </c>
      <c r="J10" s="101">
        <f t="shared" si="3"/>
        <v>2195271.6</v>
      </c>
      <c r="K10" s="100">
        <f t="shared" si="4"/>
        <v>2608715.0010000002</v>
      </c>
    </row>
    <row r="11" spans="1:19" ht="15.75" thickBot="1" x14ac:dyDescent="0.3">
      <c r="A11" s="60" t="s">
        <v>3</v>
      </c>
      <c r="B11" s="65">
        <v>15</v>
      </c>
      <c r="C11" s="65">
        <v>20</v>
      </c>
      <c r="D11" s="65">
        <v>5</v>
      </c>
      <c r="E11" s="43">
        <f>База!AN12</f>
        <v>17932651</v>
      </c>
      <c r="F11" s="43">
        <f t="shared" si="5"/>
        <v>9616796</v>
      </c>
      <c r="G11" s="98">
        <f t="shared" si="0"/>
        <v>189787.22308333335</v>
      </c>
      <c r="H11" s="43">
        <f t="shared" si="1"/>
        <v>4500000</v>
      </c>
      <c r="I11" s="43">
        <f t="shared" si="2"/>
        <v>308398</v>
      </c>
      <c r="J11" s="101">
        <f>H11+I11*12</f>
        <v>8200776</v>
      </c>
      <c r="K11" s="100">
        <f t="shared" si="4"/>
        <v>2277446.6770000001</v>
      </c>
    </row>
    <row r="12" spans="1:19" ht="15.75" thickBot="1" x14ac:dyDescent="0.3">
      <c r="C12" s="39"/>
      <c r="D12" s="39"/>
      <c r="J12" s="101"/>
      <c r="K12" s="100"/>
    </row>
    <row r="13" spans="1:19" x14ac:dyDescent="0.25">
      <c r="A13" s="61" t="s">
        <v>190</v>
      </c>
      <c r="B13" s="62">
        <v>2</v>
      </c>
      <c r="C13" s="62">
        <v>12</v>
      </c>
      <c r="D13" s="62">
        <v>1</v>
      </c>
      <c r="E13" s="48">
        <f>База!AN14</f>
        <v>22589740</v>
      </c>
      <c r="F13" s="48">
        <f>(H13+I13)*2</f>
        <v>1570077.6</v>
      </c>
      <c r="G13" s="95">
        <f t="shared" ref="G13:G18" si="6">E13*127/12000</f>
        <v>239074.74833333332</v>
      </c>
      <c r="H13" s="48">
        <f t="shared" ref="H13:H20" si="7">B13*$B$39</f>
        <v>600000</v>
      </c>
      <c r="I13" s="48">
        <f t="shared" ref="I13:I20" si="8">C13*$C$39</f>
        <v>185038.8</v>
      </c>
      <c r="J13" s="101">
        <f t="shared" si="3"/>
        <v>2820465.5999999996</v>
      </c>
      <c r="K13" s="100">
        <f t="shared" si="4"/>
        <v>2868896.98</v>
      </c>
    </row>
    <row r="14" spans="1:19" x14ac:dyDescent="0.25">
      <c r="A14" s="58" t="s">
        <v>193</v>
      </c>
      <c r="B14" s="63">
        <v>5</v>
      </c>
      <c r="C14" s="63">
        <v>10</v>
      </c>
      <c r="D14" s="63">
        <v>1</v>
      </c>
      <c r="E14" s="42">
        <f>База!AN15</f>
        <v>32547121</v>
      </c>
      <c r="F14" s="42">
        <f>(H14+I14)*2</f>
        <v>3308398</v>
      </c>
      <c r="G14" s="96">
        <f t="shared" si="6"/>
        <v>344457.03058333334</v>
      </c>
      <c r="H14" s="42">
        <f t="shared" si="7"/>
        <v>1500000</v>
      </c>
      <c r="I14" s="42">
        <f t="shared" si="8"/>
        <v>154199</v>
      </c>
      <c r="J14" s="101">
        <f t="shared" si="3"/>
        <v>3350388</v>
      </c>
      <c r="K14" s="100">
        <f t="shared" si="4"/>
        <v>4133484.3670000001</v>
      </c>
    </row>
    <row r="15" spans="1:19" x14ac:dyDescent="0.25">
      <c r="A15" s="59" t="s">
        <v>195</v>
      </c>
      <c r="B15" s="64">
        <v>1</v>
      </c>
      <c r="C15" s="64">
        <v>4</v>
      </c>
      <c r="D15" s="64"/>
      <c r="E15" s="40">
        <f>База!AN16</f>
        <v>5847962</v>
      </c>
      <c r="F15" s="40">
        <f>(H15+I15)*2</f>
        <v>723359.2</v>
      </c>
      <c r="G15" s="97">
        <f t="shared" si="6"/>
        <v>61890.931166666669</v>
      </c>
      <c r="H15" s="40">
        <f t="shared" si="7"/>
        <v>300000</v>
      </c>
      <c r="I15" s="40">
        <f t="shared" si="8"/>
        <v>61679.6</v>
      </c>
      <c r="J15" s="101">
        <f t="shared" si="3"/>
        <v>1040155.2</v>
      </c>
      <c r="K15" s="100">
        <f t="shared" si="4"/>
        <v>742691.174</v>
      </c>
    </row>
    <row r="16" spans="1:19" x14ac:dyDescent="0.25">
      <c r="A16" s="58" t="s">
        <v>196</v>
      </c>
      <c r="B16" s="63">
        <v>5</v>
      </c>
      <c r="C16" s="63">
        <v>4</v>
      </c>
      <c r="D16" s="63">
        <v>1</v>
      </c>
      <c r="E16" s="42">
        <f>База!AN17</f>
        <v>7852365</v>
      </c>
      <c r="F16" s="42">
        <f t="shared" ref="F16:F18" si="9">(H16+I16)*2</f>
        <v>3123359.2</v>
      </c>
      <c r="G16" s="96">
        <f t="shared" si="6"/>
        <v>83104.196249999994</v>
      </c>
      <c r="H16" s="42">
        <f t="shared" si="7"/>
        <v>1500000</v>
      </c>
      <c r="I16" s="42">
        <f t="shared" si="8"/>
        <v>61679.6</v>
      </c>
      <c r="J16" s="101">
        <f t="shared" si="3"/>
        <v>2240155.2000000002</v>
      </c>
      <c r="K16" s="100">
        <f t="shared" si="4"/>
        <v>997250.35499999998</v>
      </c>
    </row>
    <row r="17" spans="1:11" x14ac:dyDescent="0.25">
      <c r="A17" s="59" t="s">
        <v>198</v>
      </c>
      <c r="B17" s="64">
        <v>2</v>
      </c>
      <c r="C17" s="64">
        <v>18</v>
      </c>
      <c r="D17" s="64">
        <v>2</v>
      </c>
      <c r="E17" s="40">
        <f>База!AN18</f>
        <v>36458698</v>
      </c>
      <c r="F17" s="40">
        <f t="shared" si="9"/>
        <v>1755116.4</v>
      </c>
      <c r="G17" s="97">
        <f t="shared" si="6"/>
        <v>385854.55383333331</v>
      </c>
      <c r="H17" s="40">
        <f t="shared" si="7"/>
        <v>600000</v>
      </c>
      <c r="I17" s="40">
        <f t="shared" si="8"/>
        <v>277558.2</v>
      </c>
      <c r="J17" s="101">
        <f t="shared" si="3"/>
        <v>3930698.4000000004</v>
      </c>
      <c r="K17" s="100">
        <f t="shared" si="4"/>
        <v>4630254.6459999997</v>
      </c>
    </row>
    <row r="18" spans="1:11" x14ac:dyDescent="0.25">
      <c r="A18" s="58" t="s">
        <v>200</v>
      </c>
      <c r="B18" s="63">
        <v>4</v>
      </c>
      <c r="C18" s="63">
        <v>25</v>
      </c>
      <c r="D18" s="63">
        <v>5</v>
      </c>
      <c r="E18" s="42">
        <f>База!AN19</f>
        <v>53756124</v>
      </c>
      <c r="F18" s="42">
        <f t="shared" si="9"/>
        <v>3170995</v>
      </c>
      <c r="G18" s="96">
        <f t="shared" si="6"/>
        <v>568918.97900000005</v>
      </c>
      <c r="H18" s="42">
        <f t="shared" si="7"/>
        <v>1200000</v>
      </c>
      <c r="I18" s="42">
        <f t="shared" si="8"/>
        <v>385497.5</v>
      </c>
      <c r="J18" s="101">
        <f t="shared" si="3"/>
        <v>5825970</v>
      </c>
      <c r="K18" s="100">
        <f t="shared" si="4"/>
        <v>6827027.7480000006</v>
      </c>
    </row>
    <row r="19" spans="1:11" x14ac:dyDescent="0.25">
      <c r="A19" s="59" t="s">
        <v>202</v>
      </c>
      <c r="B19" s="64"/>
      <c r="C19" s="64">
        <v>8</v>
      </c>
      <c r="D19" s="64"/>
      <c r="E19" s="40">
        <f>База!AN20</f>
        <v>13545891</v>
      </c>
      <c r="F19" s="40">
        <f t="shared" ref="F19:F20" si="10">(H19+I19)*2</f>
        <v>246718.4</v>
      </c>
      <c r="G19" s="97">
        <f t="shared" ref="G19:G20" si="11">E19*127/12000</f>
        <v>143360.67975000001</v>
      </c>
      <c r="H19" s="40">
        <f t="shared" si="7"/>
        <v>0</v>
      </c>
      <c r="I19" s="40">
        <f t="shared" si="8"/>
        <v>123359.2</v>
      </c>
      <c r="J19" s="101">
        <f t="shared" si="3"/>
        <v>1480310.4</v>
      </c>
      <c r="K19" s="100">
        <f t="shared" si="4"/>
        <v>1720328.1570000001</v>
      </c>
    </row>
    <row r="20" spans="1:11" ht="15.75" thickBot="1" x14ac:dyDescent="0.3">
      <c r="A20" s="278" t="s">
        <v>203</v>
      </c>
      <c r="B20" s="312">
        <v>1</v>
      </c>
      <c r="C20" s="312">
        <v>12</v>
      </c>
      <c r="D20" s="312">
        <v>2</v>
      </c>
      <c r="E20" s="292">
        <f>База!AN21</f>
        <v>16596583</v>
      </c>
      <c r="F20" s="292">
        <f t="shared" si="10"/>
        <v>970077.6</v>
      </c>
      <c r="G20" s="313">
        <f t="shared" si="11"/>
        <v>175647.17008333333</v>
      </c>
      <c r="H20" s="292">
        <f t="shared" si="7"/>
        <v>300000</v>
      </c>
      <c r="I20" s="292">
        <f t="shared" si="8"/>
        <v>185038.8</v>
      </c>
      <c r="J20" s="101">
        <f t="shared" si="3"/>
        <v>2520465.5999999996</v>
      </c>
      <c r="K20" s="100">
        <f t="shared" si="4"/>
        <v>2107766.0410000002</v>
      </c>
    </row>
    <row r="21" spans="1:11" ht="15.75" thickBot="1" x14ac:dyDescent="0.3">
      <c r="C21" s="39"/>
      <c r="D21" s="39"/>
      <c r="J21" s="101"/>
      <c r="K21" s="100"/>
    </row>
    <row r="22" spans="1:11" x14ac:dyDescent="0.25">
      <c r="A22" s="61" t="s">
        <v>207</v>
      </c>
      <c r="B22" s="62"/>
      <c r="C22" s="62"/>
      <c r="D22" s="62"/>
      <c r="E22" s="48">
        <f>База!AN23</f>
        <v>14756630</v>
      </c>
      <c r="F22" s="48">
        <f t="shared" ref="F22:F27" si="12">(H22+I22)*2</f>
        <v>0</v>
      </c>
      <c r="G22" s="95">
        <f t="shared" ref="G22:G27" si="13">E22*127/12000</f>
        <v>156174.33416666667</v>
      </c>
      <c r="H22" s="48">
        <f t="shared" ref="H22:H27" si="14">B22*$B$39</f>
        <v>0</v>
      </c>
      <c r="I22" s="48">
        <f>C22*$C$39</f>
        <v>0</v>
      </c>
      <c r="J22" s="101">
        <f t="shared" si="3"/>
        <v>0</v>
      </c>
      <c r="K22" s="100">
        <f>G22*12</f>
        <v>1874092.01</v>
      </c>
    </row>
    <row r="23" spans="1:11" x14ac:dyDescent="0.25">
      <c r="A23" s="58" t="s">
        <v>208</v>
      </c>
      <c r="B23" s="63"/>
      <c r="C23" s="63"/>
      <c r="D23" s="63"/>
      <c r="E23" s="42">
        <f>База!AN24</f>
        <v>48562132</v>
      </c>
      <c r="F23" s="42">
        <f t="shared" si="12"/>
        <v>0</v>
      </c>
      <c r="G23" s="96">
        <f t="shared" si="13"/>
        <v>513949.23033333331</v>
      </c>
      <c r="H23" s="42">
        <f t="shared" si="14"/>
        <v>0</v>
      </c>
      <c r="I23" s="42">
        <f>C23*$C$39</f>
        <v>0</v>
      </c>
      <c r="J23" s="101">
        <f t="shared" si="3"/>
        <v>0</v>
      </c>
      <c r="K23" s="100">
        <f t="shared" si="4"/>
        <v>6167390.7639999995</v>
      </c>
    </row>
    <row r="24" spans="1:11" x14ac:dyDescent="0.25">
      <c r="A24" s="59" t="s">
        <v>209</v>
      </c>
      <c r="B24" s="64"/>
      <c r="C24" s="64"/>
      <c r="D24" s="64"/>
      <c r="E24" s="40">
        <f>База!AN25</f>
        <v>9409433</v>
      </c>
      <c r="F24" s="40">
        <f t="shared" si="12"/>
        <v>0</v>
      </c>
      <c r="G24" s="97">
        <f t="shared" si="13"/>
        <v>99583.165916666665</v>
      </c>
      <c r="H24" s="40">
        <f t="shared" si="14"/>
        <v>0</v>
      </c>
      <c r="I24" s="40">
        <f t="shared" ref="I24:I27" si="15">C24*$C$39</f>
        <v>0</v>
      </c>
      <c r="J24" s="101">
        <f t="shared" si="3"/>
        <v>0</v>
      </c>
      <c r="K24" s="100">
        <f t="shared" si="4"/>
        <v>1194997.9909999999</v>
      </c>
    </row>
    <row r="25" spans="1:11" x14ac:dyDescent="0.25">
      <c r="A25" s="58" t="s">
        <v>210</v>
      </c>
      <c r="B25" s="63"/>
      <c r="C25" s="63"/>
      <c r="D25" s="63"/>
      <c r="E25" s="42">
        <f>База!AN26</f>
        <v>11825698</v>
      </c>
      <c r="F25" s="42">
        <f t="shared" si="12"/>
        <v>0</v>
      </c>
      <c r="G25" s="96">
        <f t="shared" si="13"/>
        <v>125155.30383333334</v>
      </c>
      <c r="H25" s="42">
        <f t="shared" si="14"/>
        <v>0</v>
      </c>
      <c r="I25" s="42">
        <f t="shared" si="15"/>
        <v>0</v>
      </c>
      <c r="J25" s="101">
        <f t="shared" si="3"/>
        <v>0</v>
      </c>
      <c r="K25" s="100">
        <f t="shared" si="4"/>
        <v>1501863.6460000002</v>
      </c>
    </row>
    <row r="26" spans="1:11" x14ac:dyDescent="0.25">
      <c r="A26" s="59" t="s">
        <v>211</v>
      </c>
      <c r="B26" s="64"/>
      <c r="C26" s="64"/>
      <c r="D26" s="64"/>
      <c r="E26" s="40">
        <f>База!AN27</f>
        <v>6214695</v>
      </c>
      <c r="F26" s="40">
        <f t="shared" si="12"/>
        <v>0</v>
      </c>
      <c r="G26" s="97">
        <f t="shared" si="13"/>
        <v>65772.188750000001</v>
      </c>
      <c r="H26" s="40">
        <f t="shared" si="14"/>
        <v>0</v>
      </c>
      <c r="I26" s="40">
        <f t="shared" si="15"/>
        <v>0</v>
      </c>
      <c r="J26" s="101">
        <f t="shared" si="3"/>
        <v>0</v>
      </c>
      <c r="K26" s="100">
        <f t="shared" si="4"/>
        <v>789266.26500000001</v>
      </c>
    </row>
    <row r="27" spans="1:11" ht="15.75" thickBot="1" x14ac:dyDescent="0.3">
      <c r="A27" s="278" t="s">
        <v>212</v>
      </c>
      <c r="B27" s="312"/>
      <c r="C27" s="312"/>
      <c r="D27" s="312"/>
      <c r="E27" s="292">
        <f>База!AN28</f>
        <v>16957871</v>
      </c>
      <c r="F27" s="292">
        <f t="shared" si="12"/>
        <v>0</v>
      </c>
      <c r="G27" s="313">
        <f t="shared" si="13"/>
        <v>179470.80141666665</v>
      </c>
      <c r="H27" s="292">
        <f t="shared" si="14"/>
        <v>0</v>
      </c>
      <c r="I27" s="292">
        <f t="shared" si="15"/>
        <v>0</v>
      </c>
      <c r="J27" s="101">
        <f t="shared" si="3"/>
        <v>0</v>
      </c>
      <c r="K27" s="100">
        <f t="shared" si="4"/>
        <v>2153649.6169999996</v>
      </c>
    </row>
    <row r="28" spans="1:11" ht="15.75" thickBot="1" x14ac:dyDescent="0.3">
      <c r="C28" s="39"/>
      <c r="D28" s="39"/>
      <c r="J28" s="101"/>
      <c r="K28" s="100"/>
    </row>
    <row r="29" spans="1:11" x14ac:dyDescent="0.25">
      <c r="A29" s="61" t="s">
        <v>214</v>
      </c>
      <c r="B29" s="62"/>
      <c r="C29" s="62"/>
      <c r="D29" s="62"/>
      <c r="E29" s="48">
        <f>База!AN30</f>
        <v>0</v>
      </c>
      <c r="F29" s="48">
        <f t="shared" ref="F29:F36" si="16">(H29+I29)*2</f>
        <v>0</v>
      </c>
      <c r="G29" s="95">
        <f t="shared" ref="G29:G36" si="17">E29*127/12000</f>
        <v>0</v>
      </c>
      <c r="H29" s="48">
        <f t="shared" ref="H29:H36" si="18">B29*$B$39</f>
        <v>0</v>
      </c>
      <c r="I29" s="48">
        <f t="shared" ref="I29:I36" si="19">C29*$C$39</f>
        <v>0</v>
      </c>
      <c r="J29" s="101">
        <f t="shared" si="3"/>
        <v>0</v>
      </c>
      <c r="K29" s="100">
        <f t="shared" si="4"/>
        <v>0</v>
      </c>
    </row>
    <row r="30" spans="1:11" x14ac:dyDescent="0.25">
      <c r="A30" s="58" t="s">
        <v>215</v>
      </c>
      <c r="B30" s="63"/>
      <c r="C30" s="63"/>
      <c r="D30" s="63"/>
      <c r="E30" s="42">
        <f>База!AN31</f>
        <v>0</v>
      </c>
      <c r="F30" s="42">
        <f t="shared" si="16"/>
        <v>0</v>
      </c>
      <c r="G30" s="96">
        <f t="shared" si="17"/>
        <v>0</v>
      </c>
      <c r="H30" s="42">
        <f t="shared" si="18"/>
        <v>0</v>
      </c>
      <c r="I30" s="42">
        <f t="shared" si="19"/>
        <v>0</v>
      </c>
      <c r="J30" s="101">
        <f t="shared" si="3"/>
        <v>0</v>
      </c>
      <c r="K30" s="100">
        <f t="shared" si="4"/>
        <v>0</v>
      </c>
    </row>
    <row r="31" spans="1:11" x14ac:dyDescent="0.25">
      <c r="A31" s="59" t="s">
        <v>216</v>
      </c>
      <c r="B31" s="64"/>
      <c r="C31" s="64"/>
      <c r="D31" s="64"/>
      <c r="E31" s="40">
        <f>База!AN32</f>
        <v>0</v>
      </c>
      <c r="F31" s="40">
        <f t="shared" si="16"/>
        <v>0</v>
      </c>
      <c r="G31" s="97">
        <f t="shared" si="17"/>
        <v>0</v>
      </c>
      <c r="H31" s="40">
        <f t="shared" si="18"/>
        <v>0</v>
      </c>
      <c r="I31" s="40">
        <f t="shared" si="19"/>
        <v>0</v>
      </c>
      <c r="J31" s="101">
        <f t="shared" si="3"/>
        <v>0</v>
      </c>
      <c r="K31" s="100">
        <f t="shared" si="4"/>
        <v>0</v>
      </c>
    </row>
    <row r="32" spans="1:11" x14ac:dyDescent="0.25">
      <c r="A32" s="58" t="s">
        <v>217</v>
      </c>
      <c r="B32" s="63"/>
      <c r="C32" s="63"/>
      <c r="D32" s="63"/>
      <c r="E32" s="42">
        <f>База!AN33</f>
        <v>0</v>
      </c>
      <c r="F32" s="42">
        <f t="shared" si="16"/>
        <v>0</v>
      </c>
      <c r="G32" s="96">
        <f t="shared" si="17"/>
        <v>0</v>
      </c>
      <c r="H32" s="42">
        <f t="shared" si="18"/>
        <v>0</v>
      </c>
      <c r="I32" s="42">
        <f t="shared" si="19"/>
        <v>0</v>
      </c>
      <c r="J32" s="101">
        <f t="shared" si="3"/>
        <v>0</v>
      </c>
      <c r="K32" s="100">
        <f t="shared" si="4"/>
        <v>0</v>
      </c>
    </row>
    <row r="33" spans="1:24" x14ac:dyDescent="0.25">
      <c r="A33" s="59" t="s">
        <v>218</v>
      </c>
      <c r="B33" s="64"/>
      <c r="C33" s="64"/>
      <c r="D33" s="64"/>
      <c r="E33" s="40">
        <f>База!AN34</f>
        <v>0</v>
      </c>
      <c r="F33" s="40">
        <f t="shared" si="16"/>
        <v>0</v>
      </c>
      <c r="G33" s="97">
        <f t="shared" si="17"/>
        <v>0</v>
      </c>
      <c r="H33" s="40">
        <f t="shared" si="18"/>
        <v>0</v>
      </c>
      <c r="I33" s="40">
        <f t="shared" si="19"/>
        <v>0</v>
      </c>
      <c r="J33" s="101">
        <f t="shared" si="3"/>
        <v>0</v>
      </c>
      <c r="K33" s="100">
        <f t="shared" si="4"/>
        <v>0</v>
      </c>
    </row>
    <row r="34" spans="1:24" x14ac:dyDescent="0.25">
      <c r="A34" s="58" t="s">
        <v>219</v>
      </c>
      <c r="B34" s="63"/>
      <c r="C34" s="63"/>
      <c r="D34" s="63"/>
      <c r="E34" s="42">
        <f>База!AN35</f>
        <v>0</v>
      </c>
      <c r="F34" s="42">
        <f t="shared" si="16"/>
        <v>0</v>
      </c>
      <c r="G34" s="96">
        <f t="shared" si="17"/>
        <v>0</v>
      </c>
      <c r="H34" s="42">
        <f t="shared" si="18"/>
        <v>0</v>
      </c>
      <c r="I34" s="42">
        <f t="shared" si="19"/>
        <v>0</v>
      </c>
      <c r="J34" s="101">
        <f t="shared" si="3"/>
        <v>0</v>
      </c>
      <c r="K34" s="100">
        <f t="shared" si="4"/>
        <v>0</v>
      </c>
    </row>
    <row r="35" spans="1:24" x14ac:dyDescent="0.25">
      <c r="A35" s="59" t="s">
        <v>220</v>
      </c>
      <c r="B35" s="64"/>
      <c r="C35" s="64"/>
      <c r="D35" s="64"/>
      <c r="E35" s="40">
        <f>База!AN36</f>
        <v>0</v>
      </c>
      <c r="F35" s="40">
        <f t="shared" si="16"/>
        <v>0</v>
      </c>
      <c r="G35" s="97">
        <f t="shared" si="17"/>
        <v>0</v>
      </c>
      <c r="H35" s="40">
        <f t="shared" si="18"/>
        <v>0</v>
      </c>
      <c r="I35" s="40">
        <f t="shared" si="19"/>
        <v>0</v>
      </c>
      <c r="J35" s="101">
        <f t="shared" si="3"/>
        <v>0</v>
      </c>
      <c r="K35" s="100">
        <f t="shared" si="4"/>
        <v>0</v>
      </c>
    </row>
    <row r="36" spans="1:24" ht="15.75" thickBot="1" x14ac:dyDescent="0.3">
      <c r="A36" s="278" t="s">
        <v>221</v>
      </c>
      <c r="B36" s="312"/>
      <c r="C36" s="312"/>
      <c r="D36" s="312"/>
      <c r="E36" s="292">
        <f>База!AN37</f>
        <v>0</v>
      </c>
      <c r="F36" s="292">
        <f t="shared" si="16"/>
        <v>0</v>
      </c>
      <c r="G36" s="313">
        <f t="shared" si="17"/>
        <v>0</v>
      </c>
      <c r="H36" s="292">
        <f t="shared" si="18"/>
        <v>0</v>
      </c>
      <c r="I36" s="292">
        <f t="shared" si="19"/>
        <v>0</v>
      </c>
      <c r="J36" s="101">
        <f t="shared" si="3"/>
        <v>0</v>
      </c>
      <c r="K36" s="100">
        <f>G36*12</f>
        <v>0</v>
      </c>
    </row>
    <row r="37" spans="1:24" x14ac:dyDescent="0.25">
      <c r="C37" s="39"/>
      <c r="D37" s="39"/>
      <c r="J37" s="101"/>
      <c r="K37" s="100"/>
    </row>
    <row r="38" spans="1:24" x14ac:dyDescent="0.25">
      <c r="C38" s="39"/>
      <c r="D38" s="39"/>
      <c r="J38" s="101"/>
      <c r="K38" s="100"/>
    </row>
    <row r="39" spans="1:24" x14ac:dyDescent="0.25">
      <c r="B39" s="94">
        <v>300000</v>
      </c>
      <c r="C39" s="94">
        <f>((26786+24000+52000)*0.15)+2</f>
        <v>15419.9</v>
      </c>
      <c r="D39" s="39"/>
      <c r="J39" s="39">
        <f>SUM(J3:J11)</f>
        <v>38654268</v>
      </c>
      <c r="K39" s="39">
        <f>SUM(K3:K11)</f>
        <v>61809952.072000004</v>
      </c>
    </row>
    <row r="40" spans="1:24" x14ac:dyDescent="0.25">
      <c r="C40" s="39">
        <f>C39*12</f>
        <v>185038.8</v>
      </c>
    </row>
    <row r="41" spans="1:24" x14ac:dyDescent="0.25">
      <c r="C41" s="39">
        <f>3855</f>
        <v>3855</v>
      </c>
      <c r="D41" s="39"/>
    </row>
    <row r="42" spans="1:24" ht="45" x14ac:dyDescent="0.25">
      <c r="B42" s="51" t="s">
        <v>49</v>
      </c>
      <c r="C42" s="51"/>
      <c r="D42" s="51"/>
      <c r="E42" s="53">
        <f>E3/1000</f>
        <v>18846.379000000001</v>
      </c>
      <c r="F42" s="51"/>
      <c r="G42" s="50" t="s">
        <v>48</v>
      </c>
      <c r="H42" s="50" t="s">
        <v>50</v>
      </c>
      <c r="I42" s="50" t="s">
        <v>56</v>
      </c>
      <c r="J42" s="50" t="s">
        <v>53</v>
      </c>
      <c r="K42" s="50" t="s">
        <v>51</v>
      </c>
      <c r="L42" s="50" t="s">
        <v>52</v>
      </c>
      <c r="R42" s="51" t="s">
        <v>94</v>
      </c>
      <c r="T42" s="50" t="s">
        <v>48</v>
      </c>
      <c r="U42" s="50" t="s">
        <v>50</v>
      </c>
      <c r="W42" s="51" t="s">
        <v>96</v>
      </c>
      <c r="X42" s="51" t="s">
        <v>95</v>
      </c>
    </row>
    <row r="43" spans="1:24" x14ac:dyDescent="0.25">
      <c r="A43" t="str">
        <f>IF(M43=0,"АВГУСТ","")</f>
        <v/>
      </c>
      <c r="B43" s="51">
        <v>1</v>
      </c>
      <c r="C43" s="51"/>
      <c r="D43" s="51"/>
      <c r="E43" s="53">
        <f>E42*127/48</f>
        <v>49864.377770833329</v>
      </c>
      <c r="F43" s="52"/>
      <c r="G43" s="53">
        <f>Q3+N3-O3</f>
        <v>1739321.5889166666</v>
      </c>
      <c r="H43" s="54">
        <f t="shared" ref="H43:H90" si="20">G43/$O$3</f>
        <v>8.720261169758496</v>
      </c>
      <c r="I43" s="68">
        <f>G43/$O$3*IF(SUM($R$3,0.01*$M$3)&gt;0.99,0.99,$R$3+0.01*$M$3)</f>
        <v>6.1041828188309468</v>
      </c>
      <c r="J43" s="51" t="str">
        <f ca="1">_xlfn.IFS(AND(K43&gt;0,K43&lt;34),"НЕУРОЖАЙ",AND(L43&gt;0,L43&lt;11),"РЕКОРД",NOT(M43=0),"",AND(K43&gt;33,L43&gt;10),"ОБЫЧНЫЙ")</f>
        <v/>
      </c>
      <c r="K43" s="51" t="str">
        <f ca="1">IF(M43=0,RANDBETWEEN(1,100),"")</f>
        <v/>
      </c>
      <c r="L43" t="str">
        <f ca="1">IF(AND(M43=0,K43&gt;33),RANDBETWEEN(1,100),"")</f>
        <v/>
      </c>
      <c r="M43" s="55">
        <f>MOD(B43,8)</f>
        <v>1</v>
      </c>
      <c r="R43" s="51">
        <v>1</v>
      </c>
      <c r="T43" s="53">
        <f>Q3/4+N3-O3/4</f>
        <v>1854219.9472291665</v>
      </c>
      <c r="U43" s="54">
        <f>T43/$O$3</f>
        <v>9.2963154767055798</v>
      </c>
      <c r="W43">
        <f>MOD(R43,4)</f>
        <v>1</v>
      </c>
      <c r="X43">
        <f>MOD(R43,32)</f>
        <v>1</v>
      </c>
    </row>
    <row r="44" spans="1:24" x14ac:dyDescent="0.25">
      <c r="A44" t="str">
        <f t="shared" ref="A44:A90" si="21">IF(M44=0,"АВГУСТ","")</f>
        <v/>
      </c>
      <c r="B44" s="51">
        <v>2</v>
      </c>
      <c r="C44" s="51"/>
      <c r="D44" s="51"/>
      <c r="E44" s="53"/>
      <c r="F44" s="52"/>
      <c r="G44" s="53" cm="1">
        <f t="array" ref="G44">IF(G43&gt;0,G43*(IF(SUM($R$3,0.01*$M$3)&gt;0.99,0.99,$R$3+0.01*$M$3)),G43)+(($Q$3+$Q$3*S3)+IF(M44=0,$P$3*_xlfn.IFS(J44="НЕУРОЖАЙ",0.25,J44="ОБЫЧНЫЙ",1,J44="РЕКОРД",1.25,J44="",1),0))-$O$3</f>
        <v>1054664.6127303857</v>
      </c>
      <c r="H44" s="54">
        <f t="shared" si="20"/>
        <v>5.2876655634680354</v>
      </c>
      <c r="I44" s="68">
        <f t="shared" ref="I44:I90" si="22">G44/$O$3*IF(SUM($R$3,0.01*$M$3)&gt;0.99,0.99,$R$3+0.01*$M$3)</f>
        <v>3.7013658944276244</v>
      </c>
      <c r="J44" s="51" t="str">
        <f t="shared" ref="J44:J89" ca="1" si="23">_xlfn.IFS(AND(K44&gt;0,K44&lt;34),"НЕУРОЖАЙ",AND(L44&gt;0,L44&lt;11),"РЕКОРД",NOT(M44=0),"",AND(K44&gt;33,L44&gt;10),"ОБЫЧНЫЙ")</f>
        <v/>
      </c>
      <c r="K44" s="51" t="str">
        <f t="shared" ref="K44:K58" ca="1" si="24">IF(M44=0,RANDBETWEEN(1,100),"")</f>
        <v/>
      </c>
      <c r="L44" t="str">
        <f t="shared" ref="L44:L58" ca="1" si="25">IF(AND(M44=0,K44&gt;33),RANDBETWEEN(1,100),"")</f>
        <v/>
      </c>
      <c r="M44" s="55">
        <f t="shared" ref="M44:M90" si="26">MOD(B44,8)</f>
        <v>2</v>
      </c>
      <c r="R44" s="51">
        <v>2</v>
      </c>
      <c r="T44" s="53">
        <f>IF(AND(T43&gt;0,W44=0),T43*(IF(SUM($R$3,0.01*$M$3)&gt;0.99,0.99,$R$3+0.01*$M$3)),T43)+((($Q$3+$Q$3*$S$3)/4)+(IF(X44=0,$P$3*_xlfn.IFS(Y44="НЕУРОЖАЙ",0.25,Y44="ОБЫЧНЫЙ",1,Y44="РЕКОРД",1.25,Y44="",1),0)))-($O$3/4)</f>
        <v>1813504.8223513463</v>
      </c>
      <c r="U44" s="54">
        <f t="shared" ref="U44:U107" si="27">T44/$O$3</f>
        <v>9.0921861628648522</v>
      </c>
      <c r="W44">
        <f t="shared" ref="W44:W107" si="28">MOD(R44,4)</f>
        <v>2</v>
      </c>
      <c r="X44">
        <f t="shared" ref="X44:X107" si="29">MOD(R44,32)</f>
        <v>2</v>
      </c>
    </row>
    <row r="45" spans="1:24" x14ac:dyDescent="0.25">
      <c r="A45" t="str">
        <f t="shared" si="21"/>
        <v/>
      </c>
      <c r="B45" s="51">
        <v>3</v>
      </c>
      <c r="C45" s="51"/>
      <c r="D45" s="51"/>
      <c r="E45" s="52"/>
      <c r="F45" s="52"/>
      <c r="G45" s="53" cm="1">
        <f t="array" ref="G45">IF(G44&gt;0,G44*(IF(SUM($R$3,0.01*$M$3)&gt;0.99,0.99,$R$3+0.01*$M$3)),G44)+(($Q$3+$Q$3*S4)+IF(M45=0,$P$3*_xlfn.IFS(J45="НЕУРОЖАЙ",0.25,J45="ОБЫЧНЫЙ",1,J45="РЕКОРД",1.25,J45="",1),0))-$O$3</f>
        <v>585067.41782793659</v>
      </c>
      <c r="H45" s="54">
        <f t="shared" si="20"/>
        <v>2.9332934851648451</v>
      </c>
      <c r="I45" s="68">
        <f t="shared" si="22"/>
        <v>2.0533054396153916</v>
      </c>
      <c r="J45" s="51" t="str">
        <f t="shared" ca="1" si="23"/>
        <v/>
      </c>
      <c r="K45" s="51" t="str">
        <f t="shared" ca="1" si="24"/>
        <v/>
      </c>
      <c r="L45" t="str">
        <f t="shared" ca="1" si="25"/>
        <v/>
      </c>
      <c r="M45" s="55">
        <f t="shared" si="26"/>
        <v>3</v>
      </c>
      <c r="R45" s="51">
        <v>3</v>
      </c>
      <c r="T45" s="53">
        <f t="shared" ref="T45:T108" si="30">IF(AND(T44&gt;0,W45=0),T44*(IF(SUM($R$3,0.01*$M$3)&gt;0.99,0.99,$R$3+0.01*$M$3)),T44)+((($Q$3+$Q$3*$S$3)/4)+(IF(X45=0,$P$3*_xlfn.IFS(Y45="НЕУРОЖАЙ",0.25,Y45="ОБЫЧНЫЙ",1,Y45="РЕКОРД",1.25,Y45="",1),0)))-($O$3/4)</f>
        <v>1772789.697473526</v>
      </c>
      <c r="U45" s="54">
        <f t="shared" si="27"/>
        <v>8.8880568490241245</v>
      </c>
      <c r="W45">
        <f t="shared" si="28"/>
        <v>3</v>
      </c>
      <c r="X45">
        <f t="shared" si="29"/>
        <v>3</v>
      </c>
    </row>
    <row r="46" spans="1:24" x14ac:dyDescent="0.25">
      <c r="A46" t="str">
        <f t="shared" si="21"/>
        <v/>
      </c>
      <c r="B46" s="51">
        <v>4</v>
      </c>
      <c r="C46" s="51"/>
      <c r="D46" s="51"/>
      <c r="E46" s="52"/>
      <c r="F46" s="52"/>
      <c r="G46" s="53" cm="1">
        <f t="array" ref="G46">IF(G45&gt;0,G45*(IF(SUM($R$3,0.01*$M$3)&gt;0.99,0.99,$R$3+0.01*$M$3)),G45)+(($Q$3+$Q$3*S5)+IF(M46=0,$P$3*_xlfn.IFS(J46="НЕУРОЖАЙ",0.25,J46="ОБЫЧНЫЙ",1,J46="РЕКОРД",1.25,J46="",1),0))-$O$3</f>
        <v>256349.38139622228</v>
      </c>
      <c r="H46" s="54">
        <f t="shared" si="20"/>
        <v>1.2852330303526123</v>
      </c>
      <c r="I46" s="68">
        <f t="shared" si="22"/>
        <v>0.89966312124682857</v>
      </c>
      <c r="J46" s="51" t="str">
        <f t="shared" ca="1" si="23"/>
        <v/>
      </c>
      <c r="K46" s="51" t="str">
        <f t="shared" ca="1" si="24"/>
        <v/>
      </c>
      <c r="L46" t="str">
        <f t="shared" ca="1" si="25"/>
        <v/>
      </c>
      <c r="M46" s="55">
        <f t="shared" si="26"/>
        <v>4</v>
      </c>
      <c r="R46" s="51">
        <v>4</v>
      </c>
      <c r="T46" s="53">
        <f t="shared" si="30"/>
        <v>1200237.6633536478</v>
      </c>
      <c r="U46" s="54">
        <f t="shared" si="27"/>
        <v>6.0175104804761581</v>
      </c>
      <c r="V46">
        <f>IF(W46=0,V42+1,"")</f>
        <v>1</v>
      </c>
      <c r="W46">
        <f t="shared" si="28"/>
        <v>0</v>
      </c>
      <c r="X46">
        <f t="shared" si="29"/>
        <v>4</v>
      </c>
    </row>
    <row r="47" spans="1:24" x14ac:dyDescent="0.25">
      <c r="A47" t="str">
        <f t="shared" si="21"/>
        <v/>
      </c>
      <c r="B47" s="51">
        <v>5</v>
      </c>
      <c r="C47" s="51"/>
      <c r="D47" s="51"/>
      <c r="E47" s="52"/>
      <c r="F47" s="52"/>
      <c r="G47" s="53" cm="1">
        <f t="array" ref="G47">IF(G46&gt;0,G46*(IF(SUM($R$3,0.01*$M$3)&gt;0.99,0.99,$R$3+0.01*$M$3)),G46)+(($Q$3+$Q$3*S6)+IF(M47=0,$P$3*_xlfn.IFS(J47="НЕУРОЖАЙ",0.25,J47="ОБЫЧНЫЙ",1,J47="РЕКОРД",1.25,J47="",1),0))-$O$3</f>
        <v>26246.755894022237</v>
      </c>
      <c r="H47" s="54">
        <f t="shared" si="20"/>
        <v>0.13159071198404929</v>
      </c>
      <c r="I47" s="68">
        <f t="shared" si="22"/>
        <v>9.2113498388834494E-2</v>
      </c>
      <c r="J47" s="51" t="str">
        <f t="shared" ca="1" si="23"/>
        <v/>
      </c>
      <c r="K47" s="51" t="str">
        <f t="shared" ca="1" si="24"/>
        <v/>
      </c>
      <c r="L47" t="str">
        <f t="shared" ca="1" si="25"/>
        <v/>
      </c>
      <c r="M47" s="55">
        <f t="shared" si="26"/>
        <v>5</v>
      </c>
      <c r="R47" s="51">
        <v>5</v>
      </c>
      <c r="T47" s="53">
        <f t="shared" si="30"/>
        <v>1159522.5384758275</v>
      </c>
      <c r="U47" s="54">
        <f t="shared" si="27"/>
        <v>5.8133811666354296</v>
      </c>
      <c r="V47" t="str">
        <f t="shared" ref="V47:V110" si="31">IF(W47=0,V43+1,"")</f>
        <v/>
      </c>
      <c r="W47">
        <f t="shared" si="28"/>
        <v>1</v>
      </c>
      <c r="X47">
        <f t="shared" si="29"/>
        <v>5</v>
      </c>
    </row>
    <row r="48" spans="1:24" x14ac:dyDescent="0.25">
      <c r="A48" t="str">
        <f t="shared" si="21"/>
        <v/>
      </c>
      <c r="B48" s="51">
        <v>6</v>
      </c>
      <c r="C48" s="51"/>
      <c r="D48" s="51"/>
      <c r="E48" s="52"/>
      <c r="F48" s="52"/>
      <c r="G48" s="53" cm="1">
        <f t="array" ref="G48">IF(G47&gt;0,G47*(IF(SUM($R$3,0.01*$M$3)&gt;0.99,0.99,$R$3+0.01*$M$3)),G47)+(($Q$3+$Q$3*S7)+IF(M48=0,$P$3*_xlfn.IFS(J48="НЕУРОЖАЙ",0.25,J48="ОБЫЧНЫЙ",1,J48="РЕКОРД",1.25,J48="",1),0))-$O$3</f>
        <v>-134825.08195751777</v>
      </c>
      <c r="H48" s="54">
        <f t="shared" si="20"/>
        <v>-0.67595891087394477</v>
      </c>
      <c r="I48" s="68">
        <f t="shared" si="22"/>
        <v>-0.47317123761176133</v>
      </c>
      <c r="J48" s="51" t="str">
        <f t="shared" ca="1" si="23"/>
        <v/>
      </c>
      <c r="K48" s="51" t="str">
        <f t="shared" ca="1" si="24"/>
        <v/>
      </c>
      <c r="L48" t="str">
        <f t="shared" ca="1" si="25"/>
        <v/>
      </c>
      <c r="M48" s="55">
        <f t="shared" si="26"/>
        <v>6</v>
      </c>
      <c r="R48" s="51">
        <v>6</v>
      </c>
      <c r="T48" s="53">
        <f t="shared" si="30"/>
        <v>1118807.4135980073</v>
      </c>
      <c r="U48" s="54">
        <f t="shared" si="27"/>
        <v>5.609251852794702</v>
      </c>
      <c r="V48" t="str">
        <f t="shared" si="31"/>
        <v/>
      </c>
      <c r="W48">
        <f t="shared" si="28"/>
        <v>2</v>
      </c>
      <c r="X48">
        <f t="shared" si="29"/>
        <v>6</v>
      </c>
    </row>
    <row r="49" spans="1:24" x14ac:dyDescent="0.25">
      <c r="A49" t="str">
        <f t="shared" si="21"/>
        <v/>
      </c>
      <c r="B49" s="51">
        <v>7</v>
      </c>
      <c r="C49" s="51"/>
      <c r="D49" s="51"/>
      <c r="E49" s="52"/>
      <c r="F49" s="52"/>
      <c r="G49" s="53" cm="1">
        <f t="array" ref="G49">IF(G48&gt;0,G48*(IF(SUM($R$3,0.01*$M$3)&gt;0.99,0.99,$R$3+0.01*$M$3)),G48)+(($Q$3+$Q$3*S8)+IF(M49=0,$P$3*_xlfn.IFS(J49="НЕУРОЖАЙ",0.25,J49="ОБЫЧНЫЙ",1,J49="РЕКОРД",1.25,J49="",1),0))-$O$3</f>
        <v>-288022.89304085111</v>
      </c>
      <c r="H49" s="54">
        <f t="shared" si="20"/>
        <v>-1.4440313201367241</v>
      </c>
      <c r="I49" s="68">
        <f t="shared" si="22"/>
        <v>-1.0108219240957068</v>
      </c>
      <c r="J49" s="51" t="str">
        <f t="shared" ca="1" si="23"/>
        <v/>
      </c>
      <c r="K49" s="51" t="str">
        <f t="shared" ca="1" si="24"/>
        <v/>
      </c>
      <c r="L49" t="str">
        <f t="shared" ca="1" si="25"/>
        <v/>
      </c>
      <c r="M49" s="55">
        <f t="shared" si="26"/>
        <v>7</v>
      </c>
      <c r="R49" s="51">
        <v>7</v>
      </c>
      <c r="T49" s="53">
        <f t="shared" si="30"/>
        <v>1078092.288720187</v>
      </c>
      <c r="U49" s="54">
        <f t="shared" si="27"/>
        <v>5.4051225389539734</v>
      </c>
      <c r="V49" t="str">
        <f t="shared" si="31"/>
        <v/>
      </c>
      <c r="W49">
        <f t="shared" si="28"/>
        <v>3</v>
      </c>
      <c r="X49">
        <f t="shared" si="29"/>
        <v>7</v>
      </c>
    </row>
    <row r="50" spans="1:24" x14ac:dyDescent="0.25">
      <c r="A50" t="str">
        <f t="shared" si="21"/>
        <v>АВГУСТ</v>
      </c>
      <c r="B50" s="51">
        <v>8</v>
      </c>
      <c r="C50" s="51"/>
      <c r="D50" s="51"/>
      <c r="E50" s="52"/>
      <c r="F50" s="52"/>
      <c r="G50" s="53" cm="1">
        <f t="array" aca="1" ref="G50" ca="1">IF(G49&gt;0,G49*(IF(SUM($R$3,0.01*$M$3)&gt;0.99,0.99,$R$3+0.01*$M$3)),G49)+(($Q$3+$Q$3*S9)+IF(M50=0,$P$3*_xlfn.IFS(J50="НЕУРОЖАЙ",0.25,J50="ОБЫЧНЫЙ",1,J50="РЕКОРД",1.25,J50="",1),0))-$O$3</f>
        <v>683779.29587581544</v>
      </c>
      <c r="H50" s="54">
        <f t="shared" ca="1" si="20"/>
        <v>3.4281952690672677</v>
      </c>
      <c r="I50" s="68">
        <f t="shared" ca="1" si="22"/>
        <v>2.3997366883470872</v>
      </c>
      <c r="J50" s="51" t="str">
        <f t="shared" ca="1" si="23"/>
        <v>РЕКОРД</v>
      </c>
      <c r="K50" s="51">
        <f t="shared" ca="1" si="24"/>
        <v>79</v>
      </c>
      <c r="L50">
        <f t="shared" ca="1" si="25"/>
        <v>10</v>
      </c>
      <c r="M50" s="55">
        <f t="shared" si="26"/>
        <v>0</v>
      </c>
      <c r="N50">
        <v>34</v>
      </c>
      <c r="R50" s="51">
        <v>8</v>
      </c>
      <c r="T50" s="53">
        <f t="shared" si="30"/>
        <v>713949.47722631064</v>
      </c>
      <c r="U50" s="54">
        <f t="shared" si="27"/>
        <v>3.5794564634270531</v>
      </c>
      <c r="V50">
        <f t="shared" si="31"/>
        <v>2</v>
      </c>
      <c r="W50">
        <f t="shared" si="28"/>
        <v>0</v>
      </c>
      <c r="X50">
        <f t="shared" si="29"/>
        <v>8</v>
      </c>
    </row>
    <row r="51" spans="1:24" x14ac:dyDescent="0.25">
      <c r="A51" t="str">
        <f t="shared" si="21"/>
        <v/>
      </c>
      <c r="B51" s="51">
        <v>9</v>
      </c>
      <c r="C51" s="51"/>
      <c r="D51" s="51"/>
      <c r="E51" s="52"/>
      <c r="F51" s="52"/>
      <c r="G51" s="53" cm="1">
        <f t="array" aca="1" ref="G51" ca="1">IF(G50&gt;0,G50*(IF(SUM($R$3,0.01*$M$3)&gt;0.99,0.99,$R$3+0.01*$M$3)),G50)+(($Q$3+$Q$3*S10)+IF(M51=0,$P$3*_xlfn.IFS(J51="НЕУРОЖАЙ",0.25,J51="ОБЫЧНЫЙ",1,J51="РЕКОРД",1.25,J51="",1),0))-$O$3</f>
        <v>325447.69602973742</v>
      </c>
      <c r="H51" s="54">
        <f t="shared" ca="1" si="20"/>
        <v>1.6316642790843077</v>
      </c>
      <c r="I51" s="68">
        <f t="shared" ca="1" si="22"/>
        <v>1.1421649953590154</v>
      </c>
      <c r="J51" s="51" t="str">
        <f t="shared" ca="1" si="23"/>
        <v/>
      </c>
      <c r="K51" s="51" t="str">
        <f t="shared" ca="1" si="24"/>
        <v/>
      </c>
      <c r="L51" t="str">
        <f t="shared" ca="1" si="25"/>
        <v/>
      </c>
      <c r="M51" s="55">
        <f t="shared" si="26"/>
        <v>1</v>
      </c>
      <c r="N51" t="str">
        <f>IF(M51=0,IF(J43="НЕУРОЖАЙ",1,N43+33),"")</f>
        <v/>
      </c>
      <c r="R51" s="51">
        <v>9</v>
      </c>
      <c r="T51" s="53">
        <f t="shared" si="30"/>
        <v>673234.35234849039</v>
      </c>
      <c r="U51" s="54">
        <f t="shared" si="27"/>
        <v>3.3753271495863251</v>
      </c>
      <c r="V51" t="str">
        <f t="shared" si="31"/>
        <v/>
      </c>
      <c r="W51">
        <f t="shared" si="28"/>
        <v>1</v>
      </c>
      <c r="X51">
        <f t="shared" si="29"/>
        <v>9</v>
      </c>
    </row>
    <row r="52" spans="1:24" x14ac:dyDescent="0.25">
      <c r="A52" t="str">
        <f t="shared" si="21"/>
        <v/>
      </c>
      <c r="B52" s="51">
        <v>10</v>
      </c>
      <c r="C52" s="51"/>
      <c r="D52" s="51"/>
      <c r="E52" s="52"/>
      <c r="F52" s="52"/>
      <c r="G52" s="53" cm="1">
        <f t="array" aca="1" ref="G52" ca="1">IF(G51&gt;0,G51*(IF(SUM($R$3,0.01*$M$3)&gt;0.99,0.99,$R$3+0.01*$M$3)),G51)+(($Q$3+$Q$3*S11)+IF(M52=0,$P$3*_xlfn.IFS(J52="НЕУРОЖАЙ",0.25,J52="ОБЫЧНЫЙ",1,J52="РЕКОРД",1.25,J52="",1),0))-$O$3</f>
        <v>74615.576137482829</v>
      </c>
      <c r="H52" s="54">
        <f t="shared" ca="1" si="20"/>
        <v>0.37409258609623602</v>
      </c>
      <c r="I52" s="68">
        <f t="shared" ca="1" si="22"/>
        <v>0.26186481026736519</v>
      </c>
      <c r="J52" s="51" t="str">
        <f t="shared" ca="1" si="23"/>
        <v/>
      </c>
      <c r="K52" s="51" t="str">
        <f t="shared" ca="1" si="24"/>
        <v/>
      </c>
      <c r="L52" t="str">
        <f t="shared" ca="1" si="25"/>
        <v/>
      </c>
      <c r="M52" s="55">
        <f t="shared" si="26"/>
        <v>2</v>
      </c>
      <c r="N52" t="str">
        <f t="shared" ref="N52:N89" si="32">IF(M52=0,IF(J44="НЕУРОЖАЙ",1,N44+33),"")</f>
        <v/>
      </c>
      <c r="R52" s="51">
        <v>10</v>
      </c>
      <c r="T52" s="53">
        <f t="shared" si="30"/>
        <v>632519.22747067013</v>
      </c>
      <c r="U52" s="54">
        <f t="shared" si="27"/>
        <v>3.171197835745597</v>
      </c>
      <c r="V52" t="str">
        <f t="shared" si="31"/>
        <v/>
      </c>
      <c r="W52">
        <f t="shared" si="28"/>
        <v>2</v>
      </c>
      <c r="X52">
        <f t="shared" si="29"/>
        <v>10</v>
      </c>
    </row>
    <row r="53" spans="1:24" x14ac:dyDescent="0.25">
      <c r="A53" t="str">
        <f t="shared" si="21"/>
        <v/>
      </c>
      <c r="B53" s="51">
        <v>11</v>
      </c>
      <c r="C53" s="51"/>
      <c r="D53" s="51"/>
      <c r="E53" s="52"/>
      <c r="F53" s="52"/>
      <c r="G53" s="53" cm="1">
        <f t="array" aca="1" ref="G53" ca="1">IF(G52&gt;0,G52*(IF(SUM($R$3,0.01*$M$3)&gt;0.99,0.99,$R$3+0.01*$M$3)),G52)+(($Q$3+$Q$3*S39)+IF(M53=0,$P$3*_xlfn.IFS(J53="НЕУРОЖАЙ",0.25,J53="ОБЫЧНЫЙ",1,J53="РЕКОРД",1.25,J53="",1),0))-$O$3</f>
        <v>-100966.90778709538</v>
      </c>
      <c r="H53" s="54">
        <f t="shared" ca="1" si="20"/>
        <v>-0.50620759899541412</v>
      </c>
      <c r="I53" s="68">
        <f t="shared" ca="1" si="22"/>
        <v>-0.35434531929678986</v>
      </c>
      <c r="J53" s="51" t="str">
        <f t="shared" ca="1" si="23"/>
        <v/>
      </c>
      <c r="K53" s="51" t="str">
        <f t="shared" ca="1" si="24"/>
        <v/>
      </c>
      <c r="L53" t="str">
        <f t="shared" ca="1" si="25"/>
        <v/>
      </c>
      <c r="M53" s="55">
        <f t="shared" si="26"/>
        <v>3</v>
      </c>
      <c r="N53" t="str">
        <f t="shared" si="32"/>
        <v/>
      </c>
      <c r="R53" s="51">
        <v>11</v>
      </c>
      <c r="T53" s="53">
        <f t="shared" si="30"/>
        <v>591804.10259284987</v>
      </c>
      <c r="U53" s="54">
        <f t="shared" si="27"/>
        <v>2.9670685219048689</v>
      </c>
      <c r="V53" t="str">
        <f t="shared" si="31"/>
        <v/>
      </c>
      <c r="W53">
        <f t="shared" si="28"/>
        <v>3</v>
      </c>
      <c r="X53">
        <f t="shared" si="29"/>
        <v>11</v>
      </c>
    </row>
    <row r="54" spans="1:24" x14ac:dyDescent="0.25">
      <c r="A54" t="str">
        <f t="shared" si="21"/>
        <v/>
      </c>
      <c r="B54" s="51">
        <v>12</v>
      </c>
      <c r="C54" s="51"/>
      <c r="D54" s="51"/>
      <c r="E54" s="52"/>
      <c r="F54" s="52"/>
      <c r="G54" s="53" cm="1">
        <f t="array" aca="1" ref="G54" ca="1">IF(G53&gt;0,G53*(IF(SUM($R$3,0.01*$M$3)&gt;0.99,0.99,$R$3+0.01*$M$3)),G53)+(($Q$3+$Q$3*S40)+IF(M54=0,$P$3*_xlfn.IFS(J54="НЕУРОЖАЙ",0.25,J54="ОБЫЧНЫЙ",1,J54="РЕКОРД",1.25,J54="",1),0))-$O$3</f>
        <v>-254164.71887042874</v>
      </c>
      <c r="H54" s="54">
        <f t="shared" ca="1" si="20"/>
        <v>-1.2742800082581935</v>
      </c>
      <c r="I54" s="68">
        <f t="shared" ca="1" si="22"/>
        <v>-0.89199600578073546</v>
      </c>
      <c r="J54" s="51" t="str">
        <f t="shared" ca="1" si="23"/>
        <v/>
      </c>
      <c r="K54" s="51" t="str">
        <f t="shared" ca="1" si="24"/>
        <v/>
      </c>
      <c r="L54" t="str">
        <f t="shared" ca="1" si="25"/>
        <v/>
      </c>
      <c r="M54" s="55">
        <f t="shared" si="26"/>
        <v>4</v>
      </c>
      <c r="N54" t="str">
        <f t="shared" si="32"/>
        <v/>
      </c>
      <c r="R54" s="51">
        <v>12</v>
      </c>
      <c r="T54" s="53">
        <f t="shared" si="30"/>
        <v>373547.7469371747</v>
      </c>
      <c r="U54" s="54">
        <f t="shared" si="27"/>
        <v>1.8728186514926803</v>
      </c>
      <c r="V54">
        <f t="shared" si="31"/>
        <v>3</v>
      </c>
      <c r="W54">
        <f t="shared" si="28"/>
        <v>0</v>
      </c>
      <c r="X54">
        <f t="shared" si="29"/>
        <v>12</v>
      </c>
    </row>
    <row r="55" spans="1:24" x14ac:dyDescent="0.25">
      <c r="A55" t="str">
        <f t="shared" si="21"/>
        <v/>
      </c>
      <c r="B55" s="51">
        <v>13</v>
      </c>
      <c r="C55" s="51"/>
      <c r="D55" s="51"/>
      <c r="E55" s="52"/>
      <c r="F55" s="52"/>
      <c r="G55" s="53" cm="1">
        <f t="array" aca="1" ref="G55" ca="1">IF(G54&gt;0,G54*(IF(SUM($R$3,0.01*$M$3)&gt;0.99,0.99,$R$3+0.01*$M$3)),G54)+(($Q$3+$Q$3*S41)+IF(M55=0,$P$3*_xlfn.IFS(J55="НЕУРОЖАЙ",0.25,J55="ОБЫЧНЫЙ",1,J55="РЕКОРД",1.25,J55="",1),0))-$O$3</f>
        <v>-407362.52995376207</v>
      </c>
      <c r="H55" s="54">
        <f t="shared" ca="1" si="20"/>
        <v>-2.0423524175209726</v>
      </c>
      <c r="I55" s="68">
        <f t="shared" ca="1" si="22"/>
        <v>-1.4296466922646807</v>
      </c>
      <c r="J55" s="51" t="str">
        <f t="shared" ca="1" si="23"/>
        <v/>
      </c>
      <c r="K55" s="51" t="str">
        <f t="shared" ca="1" si="24"/>
        <v/>
      </c>
      <c r="L55" t="str">
        <f t="shared" ca="1" si="25"/>
        <v/>
      </c>
      <c r="M55" s="55">
        <f t="shared" si="26"/>
        <v>5</v>
      </c>
      <c r="N55" t="str">
        <f t="shared" si="32"/>
        <v/>
      </c>
      <c r="R55" s="51">
        <v>13</v>
      </c>
      <c r="T55" s="53">
        <f t="shared" si="30"/>
        <v>332832.6220593545</v>
      </c>
      <c r="U55" s="54">
        <f t="shared" si="27"/>
        <v>1.6686893376519525</v>
      </c>
      <c r="V55" t="str">
        <f t="shared" si="31"/>
        <v/>
      </c>
      <c r="W55">
        <f t="shared" si="28"/>
        <v>1</v>
      </c>
      <c r="X55">
        <f t="shared" si="29"/>
        <v>13</v>
      </c>
    </row>
    <row r="56" spans="1:24" x14ac:dyDescent="0.25">
      <c r="A56" t="str">
        <f t="shared" si="21"/>
        <v/>
      </c>
      <c r="B56" s="51">
        <v>14</v>
      </c>
      <c r="C56" s="51"/>
      <c r="D56" s="51"/>
      <c r="E56" s="52"/>
      <c r="F56" s="52"/>
      <c r="G56" s="53" cm="1">
        <f t="array" aca="1" ref="G56" ca="1">IF(G55&gt;0,G55*(IF(SUM($R$3,0.01*$M$3)&gt;0.99,0.99,$R$3+0.01*$M$3)),G55)+(($Q$3+$Q$3*S42)+IF(M56=0,$P$3*_xlfn.IFS(J56="НЕУРОЖАЙ",0.25,J56="ОБЫЧНЫЙ",1,J56="РЕКОРД",1.25,J56="",1),0))-$O$3</f>
        <v>-560560.34103709541</v>
      </c>
      <c r="H56" s="54">
        <f t="shared" ca="1" si="20"/>
        <v>-2.8104248267837519</v>
      </c>
      <c r="I56" s="68">
        <f t="shared" ca="1" si="22"/>
        <v>-1.9672973787486263</v>
      </c>
      <c r="J56" s="51" t="str">
        <f t="shared" ca="1" si="23"/>
        <v/>
      </c>
      <c r="K56" s="51" t="str">
        <f t="shared" ca="1" si="24"/>
        <v/>
      </c>
      <c r="L56" t="str">
        <f t="shared" ca="1" si="25"/>
        <v/>
      </c>
      <c r="M56" s="55">
        <f t="shared" si="26"/>
        <v>6</v>
      </c>
      <c r="N56" t="str">
        <f t="shared" si="32"/>
        <v/>
      </c>
      <c r="R56" s="51">
        <v>14</v>
      </c>
      <c r="T56" s="53">
        <f t="shared" si="30"/>
        <v>292117.4971815343</v>
      </c>
      <c r="U56" s="54">
        <f t="shared" si="27"/>
        <v>1.4645600238112246</v>
      </c>
      <c r="V56" t="str">
        <f t="shared" si="31"/>
        <v/>
      </c>
      <c r="W56">
        <f t="shared" si="28"/>
        <v>2</v>
      </c>
      <c r="X56">
        <f t="shared" si="29"/>
        <v>14</v>
      </c>
    </row>
    <row r="57" spans="1:24" x14ac:dyDescent="0.25">
      <c r="A57" t="str">
        <f t="shared" si="21"/>
        <v/>
      </c>
      <c r="B57" s="51">
        <v>15</v>
      </c>
      <c r="C57" s="51"/>
      <c r="D57" s="51"/>
      <c r="E57" s="52"/>
      <c r="F57" s="52"/>
      <c r="G57" s="53" cm="1">
        <f t="array" aca="1" ref="G57" ca="1">IF(G56&gt;0,G56*(IF(SUM($R$3,0.01*$M$3)&gt;0.99,0.99,$R$3+0.01*$M$3)),G56)+(($Q$3+$Q$3*S43)+IF(M57=0,$P$3*_xlfn.IFS(J57="НЕУРОЖАЙ",0.25,J57="ОБЫЧНЫЙ",1,J57="РЕКОРД",1.25,J57="",1),0))-$O$3</f>
        <v>-713758.15212042874</v>
      </c>
      <c r="H57" s="54">
        <f t="shared" ca="1" si="20"/>
        <v>-3.5784972360465312</v>
      </c>
      <c r="I57" s="68">
        <f t="shared" ca="1" si="22"/>
        <v>-2.5049480652325715</v>
      </c>
      <c r="J57" s="51" t="str">
        <f t="shared" ca="1" si="23"/>
        <v/>
      </c>
      <c r="K57" s="51" t="str">
        <f t="shared" ca="1" si="24"/>
        <v/>
      </c>
      <c r="L57" t="str">
        <f t="shared" ca="1" si="25"/>
        <v/>
      </c>
      <c r="M57" s="55">
        <f t="shared" si="26"/>
        <v>7</v>
      </c>
      <c r="N57" t="str">
        <f t="shared" si="32"/>
        <v/>
      </c>
      <c r="R57" s="51">
        <v>15</v>
      </c>
      <c r="T57" s="53">
        <f t="shared" si="30"/>
        <v>251402.3723037141</v>
      </c>
      <c r="U57" s="54">
        <f t="shared" si="27"/>
        <v>1.260430709970497</v>
      </c>
      <c r="V57" t="str">
        <f t="shared" si="31"/>
        <v/>
      </c>
      <c r="W57">
        <f t="shared" si="28"/>
        <v>3</v>
      </c>
      <c r="X57">
        <f t="shared" si="29"/>
        <v>15</v>
      </c>
    </row>
    <row r="58" spans="1:24" x14ac:dyDescent="0.25">
      <c r="A58" t="str">
        <f t="shared" si="21"/>
        <v>АВГУСТ</v>
      </c>
      <c r="B58" s="51">
        <v>16</v>
      </c>
      <c r="C58" s="51"/>
      <c r="D58" s="51"/>
      <c r="E58" s="52"/>
      <c r="F58" s="52"/>
      <c r="G58" s="53" cm="1">
        <f t="array" aca="1" ref="G58" ca="1">IF(G57&gt;0,G57*(IF(SUM($R$3,0.01*$M$3)&gt;0.99,0.99,$R$3+0.01*$M$3)),G57)+(($Q$3+$Q$3*S44)+IF(M58=0,$P$3*_xlfn.IFS(J58="НЕУРОЖАЙ",0.25,J58="ОБЫЧНЫЙ",1,J58="РЕКОРД",1.25,J58="",1),0))-$O$3</f>
        <v>33044.036796237866</v>
      </c>
      <c r="H58" s="54">
        <f t="shared" ca="1" si="20"/>
        <v>0.16566955346410628</v>
      </c>
      <c r="I58" s="68">
        <f t="shared" ca="1" si="22"/>
        <v>0.11596868742487439</v>
      </c>
      <c r="J58" s="51" t="str">
        <f t="shared" ca="1" si="23"/>
        <v>ОБЫЧНЫЙ</v>
      </c>
      <c r="K58" s="51">
        <f t="shared" ca="1" si="24"/>
        <v>93</v>
      </c>
      <c r="L58">
        <f t="shared" ca="1" si="25"/>
        <v>58</v>
      </c>
      <c r="M58" s="55">
        <f t="shared" si="26"/>
        <v>0</v>
      </c>
      <c r="N58">
        <f t="shared" ca="1" si="32"/>
        <v>67</v>
      </c>
      <c r="R58" s="51">
        <v>16</v>
      </c>
      <c r="T58" s="53">
        <f t="shared" si="30"/>
        <v>135266.53573477961</v>
      </c>
      <c r="U58" s="54">
        <f t="shared" si="27"/>
        <v>0.67817218313861971</v>
      </c>
      <c r="V58">
        <f t="shared" si="31"/>
        <v>4</v>
      </c>
      <c r="W58">
        <f t="shared" si="28"/>
        <v>0</v>
      </c>
      <c r="X58">
        <f t="shared" si="29"/>
        <v>16</v>
      </c>
    </row>
    <row r="59" spans="1:24" x14ac:dyDescent="0.25">
      <c r="A59" t="str">
        <f t="shared" si="21"/>
        <v/>
      </c>
      <c r="B59" s="51">
        <v>17</v>
      </c>
      <c r="C59" s="51"/>
      <c r="D59" s="51"/>
      <c r="E59" s="52"/>
      <c r="F59" s="52"/>
      <c r="G59" s="53" cm="1">
        <f t="array" aca="1" ref="G59" ca="1">IF(G58&gt;0,G58*(IF(SUM($R$3,0.01*$M$3)&gt;0.99,0.99,$R$3+0.01*$M$3)),G58)+(($Q$3+$Q$3*S45)+IF(M59=0,$P$3*_xlfn.IFS(J59="НЕУРОЖАЙ",0.25,J59="ОБЫЧНЫЙ",1,J59="РЕКОРД",1.25,J59="",1),0))-$O$3</f>
        <v>-130066.98532596685</v>
      </c>
      <c r="H59" s="54">
        <f t="shared" ca="1" si="20"/>
        <v>-0.65210372183790488</v>
      </c>
      <c r="I59" s="68">
        <f t="shared" ca="1" si="22"/>
        <v>-0.45647260528653338</v>
      </c>
      <c r="J59" s="51" t="str">
        <f t="shared" ca="1" si="23"/>
        <v/>
      </c>
      <c r="K59" s="51" t="str">
        <f t="shared" ref="K59:K90" ca="1" si="33">IF(M59=0,RANDBETWEEN(1,100),"")</f>
        <v/>
      </c>
      <c r="L59" t="str">
        <f t="shared" ref="L59:L90" ca="1" si="34">IF(AND(M59=0,K59&gt;33),RANDBETWEEN(1,100),"")</f>
        <v/>
      </c>
      <c r="M59" s="55">
        <f t="shared" si="26"/>
        <v>1</v>
      </c>
      <c r="N59" t="str">
        <f t="shared" si="32"/>
        <v/>
      </c>
      <c r="R59" s="51">
        <v>17</v>
      </c>
      <c r="T59" s="53">
        <f t="shared" si="30"/>
        <v>94551.410856959366</v>
      </c>
      <c r="U59" s="54">
        <f t="shared" si="27"/>
        <v>0.47404286929789163</v>
      </c>
      <c r="V59" t="str">
        <f t="shared" si="31"/>
        <v/>
      </c>
      <c r="W59">
        <f t="shared" si="28"/>
        <v>1</v>
      </c>
      <c r="X59">
        <f t="shared" si="29"/>
        <v>17</v>
      </c>
    </row>
    <row r="60" spans="1:24" x14ac:dyDescent="0.25">
      <c r="A60" t="str">
        <f t="shared" si="21"/>
        <v/>
      </c>
      <c r="B60" s="51">
        <v>18</v>
      </c>
      <c r="C60" s="51"/>
      <c r="D60" s="51"/>
      <c r="E60" s="52"/>
      <c r="F60" s="52"/>
      <c r="G60" s="53" cm="1">
        <f t="array" aca="1" ref="G60" ca="1">IF(G59&gt;0,G59*(IF(SUM($R$3,0.01*$M$3)&gt;0.99,0.99,$R$3+0.01*$M$3)),G59)+(($Q$3+$Q$3*S46)+IF(M60=0,$P$3*_xlfn.IFS(J60="НЕУРОЖАЙ",0.25,J60="ОБЫЧНЫЙ",1,J60="РЕКОРД",1.25,J60="",1),0))-$O$3</f>
        <v>-283264.79640930018</v>
      </c>
      <c r="H60" s="54">
        <f t="shared" ca="1" si="20"/>
        <v>-1.4201761311006842</v>
      </c>
      <c r="I60" s="68">
        <f t="shared" ca="1" si="22"/>
        <v>-0.99412329177047887</v>
      </c>
      <c r="J60" s="51" t="str">
        <f t="shared" ca="1" si="23"/>
        <v/>
      </c>
      <c r="K60" s="51" t="str">
        <f t="shared" ca="1" si="33"/>
        <v/>
      </c>
      <c r="L60" t="str">
        <f t="shared" ca="1" si="34"/>
        <v/>
      </c>
      <c r="M60" s="55">
        <f t="shared" si="26"/>
        <v>2</v>
      </c>
      <c r="N60" t="str">
        <f t="shared" si="32"/>
        <v/>
      </c>
      <c r="R60" s="51">
        <v>18</v>
      </c>
      <c r="T60" s="53">
        <f t="shared" si="30"/>
        <v>53836.285979139138</v>
      </c>
      <c r="U60" s="54">
        <f t="shared" si="27"/>
        <v>0.26991355545716372</v>
      </c>
      <c r="V60" t="str">
        <f t="shared" si="31"/>
        <v/>
      </c>
      <c r="W60">
        <f t="shared" si="28"/>
        <v>2</v>
      </c>
      <c r="X60">
        <f t="shared" si="29"/>
        <v>18</v>
      </c>
    </row>
    <row r="61" spans="1:24" x14ac:dyDescent="0.25">
      <c r="A61" t="str">
        <f t="shared" si="21"/>
        <v/>
      </c>
      <c r="B61" s="51">
        <v>19</v>
      </c>
      <c r="C61" s="51"/>
      <c r="D61" s="51"/>
      <c r="E61" s="52"/>
      <c r="F61" s="52"/>
      <c r="G61" s="53" cm="1">
        <f t="array" aca="1" ref="G61" ca="1">IF(G60&gt;0,G60*(IF(SUM($R$3,0.01*$M$3)&gt;0.99,0.99,$R$3+0.01*$M$3)),G60)+(($Q$3+$Q$3*S47)+IF(M61=0,$P$3*_xlfn.IFS(J61="НЕУРОЖАЙ",0.25,J61="ОБЫЧНЫЙ",1,J61="РЕКОРД",1.25,J61="",1),0))-$O$3</f>
        <v>-436462.60749263351</v>
      </c>
      <c r="H61" s="54">
        <f t="shared" ca="1" si="20"/>
        <v>-2.1882485403634635</v>
      </c>
      <c r="I61" s="68">
        <f t="shared" ca="1" si="22"/>
        <v>-1.5317739782544244</v>
      </c>
      <c r="J61" s="51" t="str">
        <f t="shared" ca="1" si="23"/>
        <v/>
      </c>
      <c r="K61" s="51" t="str">
        <f t="shared" ca="1" si="33"/>
        <v/>
      </c>
      <c r="L61" t="str">
        <f t="shared" ca="1" si="34"/>
        <v/>
      </c>
      <c r="M61" s="55">
        <f t="shared" si="26"/>
        <v>3</v>
      </c>
      <c r="N61" t="str">
        <f t="shared" si="32"/>
        <v/>
      </c>
      <c r="R61" s="51">
        <v>19</v>
      </c>
      <c r="T61" s="53">
        <f t="shared" si="30"/>
        <v>13121.161101318903</v>
      </c>
      <c r="U61" s="54">
        <f t="shared" si="27"/>
        <v>6.5784241616435701E-2</v>
      </c>
      <c r="V61" t="str">
        <f t="shared" si="31"/>
        <v/>
      </c>
      <c r="W61">
        <f t="shared" si="28"/>
        <v>3</v>
      </c>
      <c r="X61">
        <f t="shared" si="29"/>
        <v>19</v>
      </c>
    </row>
    <row r="62" spans="1:24" x14ac:dyDescent="0.25">
      <c r="A62" t="str">
        <f t="shared" si="21"/>
        <v/>
      </c>
      <c r="B62" s="51">
        <v>20</v>
      </c>
      <c r="C62" s="51"/>
      <c r="D62" s="51"/>
      <c r="E62" s="52"/>
      <c r="F62" s="52"/>
      <c r="G62" s="53" cm="1">
        <f t="array" aca="1" ref="G62" ca="1">IF(G61&gt;0,G61*(IF(SUM($R$3,0.01*$M$3)&gt;0.99,0.99,$R$3+0.01*$M$3)),G61)+(($Q$3+$Q$3*S48)+IF(M62=0,$P$3*_xlfn.IFS(J62="НЕУРОЖАЙ",0.25,J62="ОБЫЧНЫЙ",1,J62="РЕКОРД",1.25,J62="",1),0))-$O$3</f>
        <v>-589660.41857596685</v>
      </c>
      <c r="H62" s="54">
        <f t="shared" ca="1" si="20"/>
        <v>-2.9563209496262428</v>
      </c>
      <c r="I62" s="68">
        <f t="shared" ca="1" si="22"/>
        <v>-2.0694246647383698</v>
      </c>
      <c r="J62" s="51" t="str">
        <f t="shared" ca="1" si="23"/>
        <v/>
      </c>
      <c r="K62" s="51" t="str">
        <f t="shared" ca="1" si="33"/>
        <v/>
      </c>
      <c r="L62" t="str">
        <f t="shared" ca="1" si="34"/>
        <v/>
      </c>
      <c r="M62" s="55">
        <f t="shared" si="26"/>
        <v>4</v>
      </c>
      <c r="N62" t="str">
        <f t="shared" si="32"/>
        <v/>
      </c>
      <c r="R62" s="51">
        <v>20</v>
      </c>
      <c r="T62" s="53">
        <f t="shared" si="30"/>
        <v>-31530.312106897003</v>
      </c>
      <c r="U62" s="54">
        <f t="shared" si="27"/>
        <v>-0.158080344709223</v>
      </c>
      <c r="V62">
        <f t="shared" si="31"/>
        <v>5</v>
      </c>
      <c r="W62">
        <f t="shared" si="28"/>
        <v>0</v>
      </c>
      <c r="X62">
        <f t="shared" si="29"/>
        <v>20</v>
      </c>
    </row>
    <row r="63" spans="1:24" x14ac:dyDescent="0.25">
      <c r="A63" t="str">
        <f t="shared" si="21"/>
        <v/>
      </c>
      <c r="B63" s="51">
        <v>21</v>
      </c>
      <c r="C63" s="51"/>
      <c r="D63" s="51"/>
      <c r="E63" s="52"/>
      <c r="F63" s="52"/>
      <c r="G63" s="53" cm="1">
        <f t="array" aca="1" ref="G63" ca="1">IF(G62&gt;0,G62*(IF(SUM($R$3,0.01*$M$3)&gt;0.99,0.99,$R$3+0.01*$M$3)),G62)+(($Q$3+$Q$3*S49)+IF(M63=0,$P$3*_xlfn.IFS(J63="НЕУРОЖАЙ",0.25,J63="ОБЫЧНЫЙ",1,J63="РЕКОРД",1.25,J63="",1),0))-$O$3</f>
        <v>-742858.2296593003</v>
      </c>
      <c r="H63" s="54">
        <f t="shared" ca="1" si="20"/>
        <v>-3.7243933588890226</v>
      </c>
      <c r="I63" s="68">
        <f t="shared" ca="1" si="22"/>
        <v>-2.6070753512223157</v>
      </c>
      <c r="J63" s="51" t="str">
        <f t="shared" ca="1" si="23"/>
        <v/>
      </c>
      <c r="K63" s="51" t="str">
        <f t="shared" ca="1" si="33"/>
        <v/>
      </c>
      <c r="L63" t="str">
        <f t="shared" ca="1" si="34"/>
        <v/>
      </c>
      <c r="M63" s="55">
        <f t="shared" si="26"/>
        <v>5</v>
      </c>
      <c r="N63" t="str">
        <f t="shared" si="32"/>
        <v/>
      </c>
      <c r="R63" s="51">
        <v>21</v>
      </c>
      <c r="T63" s="53">
        <f t="shared" si="30"/>
        <v>-72245.436984717235</v>
      </c>
      <c r="U63" s="54">
        <f t="shared" si="27"/>
        <v>-0.36220965854995096</v>
      </c>
      <c r="V63" t="str">
        <f t="shared" si="31"/>
        <v/>
      </c>
      <c r="W63">
        <f t="shared" si="28"/>
        <v>1</v>
      </c>
      <c r="X63">
        <f t="shared" si="29"/>
        <v>21</v>
      </c>
    </row>
    <row r="64" spans="1:24" x14ac:dyDescent="0.25">
      <c r="A64" t="str">
        <f t="shared" si="21"/>
        <v/>
      </c>
      <c r="B64" s="51">
        <v>22</v>
      </c>
      <c r="C64" s="51"/>
      <c r="D64" s="51"/>
      <c r="E64" s="52"/>
      <c r="F64" s="52"/>
      <c r="G64" s="53" cm="1">
        <f t="array" aca="1" ref="G64" ca="1">IF(G63&gt;0,G63*(IF(SUM($R$3,0.01*$M$3)&gt;0.99,0.99,$R$3+0.01*$M$3)),G63)+(($Q$3+$Q$3*S50)+IF(M64=0,$P$3*_xlfn.IFS(J64="НЕУРОЖАЙ",0.25,J64="ОБЫЧНЫЙ",1,J64="РЕКОРД",1.25,J64="",1),0))-$O$3</f>
        <v>-896056.04074263363</v>
      </c>
      <c r="H64" s="54">
        <f t="shared" ca="1" si="20"/>
        <v>-4.4924657681518019</v>
      </c>
      <c r="I64" s="68">
        <f t="shared" ca="1" si="22"/>
        <v>-3.1447260377062611</v>
      </c>
      <c r="J64" s="51" t="str">
        <f t="shared" ca="1" si="23"/>
        <v/>
      </c>
      <c r="K64" s="51" t="str">
        <f t="shared" ca="1" si="33"/>
        <v/>
      </c>
      <c r="L64" t="str">
        <f t="shared" ca="1" si="34"/>
        <v/>
      </c>
      <c r="M64" s="55">
        <f t="shared" si="26"/>
        <v>6</v>
      </c>
      <c r="N64" t="str">
        <f t="shared" si="32"/>
        <v/>
      </c>
      <c r="R64" s="51">
        <v>22</v>
      </c>
      <c r="T64" s="53">
        <f t="shared" si="30"/>
        <v>-112960.56186253746</v>
      </c>
      <c r="U64" s="54">
        <f t="shared" si="27"/>
        <v>-0.56633897239067899</v>
      </c>
      <c r="V64" t="str">
        <f t="shared" si="31"/>
        <v/>
      </c>
      <c r="W64">
        <f t="shared" si="28"/>
        <v>2</v>
      </c>
      <c r="X64">
        <f t="shared" si="29"/>
        <v>22</v>
      </c>
    </row>
    <row r="65" spans="1:27" x14ac:dyDescent="0.25">
      <c r="A65" t="str">
        <f t="shared" si="21"/>
        <v/>
      </c>
      <c r="B65" s="51">
        <v>23</v>
      </c>
      <c r="C65" s="51"/>
      <c r="D65" s="51"/>
      <c r="E65" s="52"/>
      <c r="F65" s="52"/>
      <c r="G65" s="53" cm="1">
        <f t="array" aca="1" ref="G65" ca="1">IF(G64&gt;0,G64*(IF(SUM($R$3,0.01*$M$3)&gt;0.99,0.99,$R$3+0.01*$M$3)),G64)+(($Q$3+$Q$3*S51)+IF(M65=0,$P$3*_xlfn.IFS(J65="НЕУРОЖАЙ",0.25,J65="ОБЫЧНЫЙ",1,J65="РЕКОРД",1.25,J65="",1),0))-$O$3</f>
        <v>-1049253.851825967</v>
      </c>
      <c r="H65" s="54">
        <f t="shared" ca="1" si="20"/>
        <v>-5.2605381774145812</v>
      </c>
      <c r="I65" s="68">
        <f t="shared" ca="1" si="22"/>
        <v>-3.6823767241902066</v>
      </c>
      <c r="J65" s="51" t="str">
        <f t="shared" ca="1" si="23"/>
        <v/>
      </c>
      <c r="K65" s="51" t="str">
        <f t="shared" ca="1" si="33"/>
        <v/>
      </c>
      <c r="L65" t="str">
        <f t="shared" ca="1" si="34"/>
        <v/>
      </c>
      <c r="M65" s="55">
        <f t="shared" si="26"/>
        <v>7</v>
      </c>
      <c r="N65" t="str">
        <f t="shared" si="32"/>
        <v/>
      </c>
      <c r="R65" s="51">
        <v>23</v>
      </c>
      <c r="T65" s="53">
        <f t="shared" si="30"/>
        <v>-153675.68674035772</v>
      </c>
      <c r="U65" s="54">
        <f t="shared" si="27"/>
        <v>-0.77046828623140706</v>
      </c>
      <c r="V65" t="str">
        <f t="shared" si="31"/>
        <v/>
      </c>
      <c r="W65">
        <f t="shared" si="28"/>
        <v>3</v>
      </c>
      <c r="X65">
        <f t="shared" si="29"/>
        <v>23</v>
      </c>
    </row>
    <row r="66" spans="1:27" x14ac:dyDescent="0.25">
      <c r="A66" t="str">
        <f t="shared" si="21"/>
        <v>АВГУСТ</v>
      </c>
      <c r="B66" s="51">
        <v>24</v>
      </c>
      <c r="C66" s="51"/>
      <c r="D66" s="51"/>
      <c r="E66" s="52"/>
      <c r="F66" s="52"/>
      <c r="G66" s="53" cm="1">
        <f t="array" aca="1" ref="G66" ca="1">IF(G65&gt;0,G65*(IF(SUM($R$3,0.01*$M$3)&gt;0.99,0.99,$R$3+0.01*$M$3)),G65)+(($Q$3+$Q$3*S52)+IF(M66=0,$P$3*_xlfn.IFS(J66="НЕУРОЖАЙ",0.25,J66="ОБЫЧНЫЙ",1,J66="РЕКОРД",1.25,J66="",1),0))-$O$3</f>
        <v>-302451.66290930036</v>
      </c>
      <c r="H66" s="54">
        <f t="shared" ca="1" si="20"/>
        <v>-1.5163713879039433</v>
      </c>
      <c r="I66" s="68">
        <f t="shared" ca="1" si="22"/>
        <v>-1.0614599715327602</v>
      </c>
      <c r="J66" s="51" t="str">
        <f t="shared" ca="1" si="23"/>
        <v>ОБЫЧНЫЙ</v>
      </c>
      <c r="K66" s="51">
        <f t="shared" ca="1" si="33"/>
        <v>56</v>
      </c>
      <c r="L66">
        <f t="shared" ca="1" si="34"/>
        <v>67</v>
      </c>
      <c r="M66" s="55">
        <f t="shared" si="26"/>
        <v>0</v>
      </c>
      <c r="N66">
        <f t="shared" ca="1" si="32"/>
        <v>100</v>
      </c>
      <c r="R66" s="51">
        <v>24</v>
      </c>
      <c r="T66" s="53">
        <f t="shared" si="30"/>
        <v>-194390.81161817798</v>
      </c>
      <c r="U66" s="54">
        <f t="shared" si="27"/>
        <v>-0.97459760007213514</v>
      </c>
      <c r="V66">
        <f t="shared" si="31"/>
        <v>6</v>
      </c>
      <c r="W66">
        <f t="shared" si="28"/>
        <v>0</v>
      </c>
      <c r="X66">
        <f t="shared" si="29"/>
        <v>24</v>
      </c>
    </row>
    <row r="67" spans="1:27" x14ac:dyDescent="0.25">
      <c r="A67" t="str">
        <f t="shared" si="21"/>
        <v/>
      </c>
      <c r="B67" s="51">
        <v>25</v>
      </c>
      <c r="C67" s="51"/>
      <c r="D67" s="51"/>
      <c r="E67" s="52"/>
      <c r="F67" s="52"/>
      <c r="G67" s="53" cm="1">
        <f t="array" aca="1" ref="G67" ca="1">IF(G66&gt;0,G66*(IF(SUM($R$3,0.01*$M$3)&gt;0.99,0.99,$R$3+0.01*$M$3)),G66)+(($Q$3+$Q$3*S53)+IF(M67=0,$P$3*_xlfn.IFS(J67="НЕУРОЖАЙ",0.25,J67="ОБЫЧНЫЙ",1,J67="РЕКОРД",1.25,J67="",1),0))-$O$3</f>
        <v>-455649.47399263369</v>
      </c>
      <c r="H67" s="54">
        <f t="shared" ca="1" si="20"/>
        <v>-2.2844437971667224</v>
      </c>
      <c r="I67" s="68">
        <f t="shared" ca="1" si="22"/>
        <v>-1.5991106580167056</v>
      </c>
      <c r="J67" s="51" t="str">
        <f t="shared" ca="1" si="23"/>
        <v/>
      </c>
      <c r="K67" s="51" t="str">
        <f t="shared" ca="1" si="33"/>
        <v/>
      </c>
      <c r="L67" t="str">
        <f t="shared" ca="1" si="34"/>
        <v/>
      </c>
      <c r="M67" s="55">
        <f t="shared" si="26"/>
        <v>1</v>
      </c>
      <c r="N67" t="str">
        <f t="shared" si="32"/>
        <v/>
      </c>
      <c r="R67" s="51">
        <v>25</v>
      </c>
      <c r="T67" s="53">
        <f t="shared" si="30"/>
        <v>-235105.93649599823</v>
      </c>
      <c r="U67" s="54">
        <f t="shared" si="27"/>
        <v>-1.1787269139128633</v>
      </c>
      <c r="V67" t="str">
        <f t="shared" si="31"/>
        <v/>
      </c>
      <c r="W67">
        <f t="shared" si="28"/>
        <v>1</v>
      </c>
      <c r="X67">
        <f t="shared" si="29"/>
        <v>25</v>
      </c>
    </row>
    <row r="68" spans="1:27" x14ac:dyDescent="0.25">
      <c r="A68" t="str">
        <f t="shared" si="21"/>
        <v/>
      </c>
      <c r="B68" s="51">
        <v>26</v>
      </c>
      <c r="C68" s="51"/>
      <c r="D68" s="51"/>
      <c r="E68" s="52"/>
      <c r="F68" s="52"/>
      <c r="G68" s="53" cm="1">
        <f t="array" aca="1" ref="G68" ca="1">IF(G67&gt;0,G67*(IF(SUM($R$3,0.01*$M$3)&gt;0.99,0.99,$R$3+0.01*$M$3)),G67)+(($Q$3+$Q$3*S54)+IF(M68=0,$P$3*_xlfn.IFS(J68="НЕУРОЖАЙ",0.25,J68="ОБЫЧНЫЙ",1,J68="РЕКОРД",1.25,J68="",1),0))-$O$3</f>
        <v>-608847.28507596697</v>
      </c>
      <c r="H68" s="54">
        <f t="shared" ca="1" si="20"/>
        <v>-3.0525162064295017</v>
      </c>
      <c r="I68" s="68">
        <f t="shared" ca="1" si="22"/>
        <v>-2.136761344500651</v>
      </c>
      <c r="J68" s="51" t="str">
        <f t="shared" ca="1" si="23"/>
        <v/>
      </c>
      <c r="K68" s="51" t="str">
        <f t="shared" ca="1" si="33"/>
        <v/>
      </c>
      <c r="L68" t="str">
        <f t="shared" ca="1" si="34"/>
        <v/>
      </c>
      <c r="M68" s="55">
        <f t="shared" si="26"/>
        <v>2</v>
      </c>
      <c r="N68" t="str">
        <f t="shared" si="32"/>
        <v/>
      </c>
      <c r="R68" s="51">
        <v>26</v>
      </c>
      <c r="T68" s="53">
        <f t="shared" si="30"/>
        <v>-275821.06137381849</v>
      </c>
      <c r="U68" s="54">
        <f t="shared" si="27"/>
        <v>-1.3828562277535914</v>
      </c>
      <c r="V68" t="str">
        <f t="shared" si="31"/>
        <v/>
      </c>
      <c r="W68">
        <f t="shared" si="28"/>
        <v>2</v>
      </c>
      <c r="X68">
        <f t="shared" si="29"/>
        <v>26</v>
      </c>
    </row>
    <row r="69" spans="1:27" x14ac:dyDescent="0.25">
      <c r="A69" t="str">
        <f t="shared" si="21"/>
        <v/>
      </c>
      <c r="B69" s="51">
        <v>27</v>
      </c>
      <c r="C69" s="51"/>
      <c r="D69" s="51"/>
      <c r="E69" s="52"/>
      <c r="F69" s="52"/>
      <c r="G69" s="53" cm="1">
        <f t="array" aca="1" ref="G69" ca="1">IF(G68&gt;0,G68*(IF(SUM($R$3,0.01*$M$3)&gt;0.99,0.99,$R$3+0.01*$M$3)),G68)+(($Q$3+$Q$3*S55)+IF(M69=0,$P$3*_xlfn.IFS(J69="НЕУРОЖАЙ",0.25,J69="ОБЫЧНЫЙ",1,J69="РЕКОРД",1.25,J69="",1),0))-$O$3</f>
        <v>-762045.0961593003</v>
      </c>
      <c r="H69" s="54">
        <f t="shared" ca="1" si="20"/>
        <v>-3.8205886156922806</v>
      </c>
      <c r="I69" s="68">
        <f t="shared" ca="1" si="22"/>
        <v>-2.6744120309845965</v>
      </c>
      <c r="J69" s="51" t="str">
        <f t="shared" ca="1" si="23"/>
        <v/>
      </c>
      <c r="K69" s="51" t="str">
        <f t="shared" ca="1" si="33"/>
        <v/>
      </c>
      <c r="L69" t="str">
        <f t="shared" ca="1" si="34"/>
        <v/>
      </c>
      <c r="M69" s="55">
        <f t="shared" si="26"/>
        <v>3</v>
      </c>
      <c r="N69" t="str">
        <f t="shared" si="32"/>
        <v/>
      </c>
      <c r="R69" s="51">
        <v>27</v>
      </c>
      <c r="T69" s="53">
        <f t="shared" si="30"/>
        <v>-316536.18625163869</v>
      </c>
      <c r="U69" s="54">
        <f t="shared" si="27"/>
        <v>-1.5869855415943193</v>
      </c>
      <c r="V69" t="str">
        <f t="shared" si="31"/>
        <v/>
      </c>
      <c r="W69">
        <f t="shared" si="28"/>
        <v>3</v>
      </c>
      <c r="X69">
        <f t="shared" si="29"/>
        <v>27</v>
      </c>
    </row>
    <row r="70" spans="1:27" x14ac:dyDescent="0.25">
      <c r="A70" t="str">
        <f t="shared" si="21"/>
        <v/>
      </c>
      <c r="B70" s="51">
        <v>28</v>
      </c>
      <c r="C70" s="51"/>
      <c r="D70" s="51"/>
      <c r="E70" s="52"/>
      <c r="F70" s="52"/>
      <c r="G70" s="53" cm="1">
        <f t="array" aca="1" ref="G70" ca="1">IF(G69&gt;0,G69*(IF(SUM($R$3,0.01*$M$3)&gt;0.99,0.99,$R$3+0.01*$M$3)),G69)+(($Q$3+$Q$3*S56)+IF(M70=0,$P$3*_xlfn.IFS(J70="НЕУРОЖАЙ",0.25,J70="ОБЫЧНЫЙ",1,J70="РЕКОРД",1.25,J70="",1),0))-$O$3</f>
        <v>-915242.90724263364</v>
      </c>
      <c r="H70" s="54">
        <f t="shared" ca="1" si="20"/>
        <v>-4.5886610249550603</v>
      </c>
      <c r="I70" s="68">
        <f t="shared" ca="1" si="22"/>
        <v>-3.2120627174685419</v>
      </c>
      <c r="J70" s="51" t="str">
        <f t="shared" ca="1" si="23"/>
        <v/>
      </c>
      <c r="K70" s="51" t="str">
        <f t="shared" ca="1" si="33"/>
        <v/>
      </c>
      <c r="L70" t="str">
        <f t="shared" ca="1" si="34"/>
        <v/>
      </c>
      <c r="M70" s="55">
        <f t="shared" si="26"/>
        <v>4</v>
      </c>
      <c r="N70" t="str">
        <f t="shared" si="32"/>
        <v/>
      </c>
      <c r="R70" s="51">
        <v>28</v>
      </c>
      <c r="T70" s="53">
        <f t="shared" si="30"/>
        <v>-357251.31112945889</v>
      </c>
      <c r="U70" s="54">
        <f t="shared" si="27"/>
        <v>-1.7911148554350469</v>
      </c>
      <c r="V70">
        <f t="shared" si="31"/>
        <v>7</v>
      </c>
      <c r="W70">
        <f t="shared" si="28"/>
        <v>0</v>
      </c>
      <c r="X70">
        <f t="shared" si="29"/>
        <v>28</v>
      </c>
    </row>
    <row r="71" spans="1:27" x14ac:dyDescent="0.25">
      <c r="A71" t="str">
        <f t="shared" si="21"/>
        <v/>
      </c>
      <c r="B71" s="51">
        <v>29</v>
      </c>
      <c r="C71" s="51"/>
      <c r="D71" s="51"/>
      <c r="E71" s="52"/>
      <c r="F71" s="52"/>
      <c r="G71" s="53" cm="1">
        <f t="array" aca="1" ref="G71" ca="1">IF(G70&gt;0,G70*(IF(SUM($R$3,0.01*$M$3)&gt;0.99,0.99,$R$3+0.01*$M$3)),G70)+(($Q$3+$Q$3*S57)+IF(M71=0,$P$3*_xlfn.IFS(J71="НЕУРОЖАЙ",0.25,J71="ОБЫЧНЫЙ",1,J71="РЕКОРД",1.25,J71="",1),0))-$O$3</f>
        <v>-1068440.718325967</v>
      </c>
      <c r="H71" s="54">
        <f t="shared" ca="1" si="20"/>
        <v>-5.3567334342178397</v>
      </c>
      <c r="I71" s="68">
        <f t="shared" ca="1" si="22"/>
        <v>-3.7497134039524873</v>
      </c>
      <c r="J71" s="51" t="str">
        <f t="shared" ca="1" si="23"/>
        <v/>
      </c>
      <c r="K71" s="51" t="str">
        <f t="shared" ca="1" si="33"/>
        <v/>
      </c>
      <c r="L71" t="str">
        <f t="shared" ca="1" si="34"/>
        <v/>
      </c>
      <c r="M71" s="55">
        <f t="shared" si="26"/>
        <v>5</v>
      </c>
      <c r="N71" t="str">
        <f t="shared" si="32"/>
        <v/>
      </c>
      <c r="R71" s="51">
        <v>29</v>
      </c>
      <c r="T71" s="53">
        <f t="shared" si="30"/>
        <v>-397966.43600727909</v>
      </c>
      <c r="U71" s="54">
        <f t="shared" si="27"/>
        <v>-1.9952441692757747</v>
      </c>
      <c r="V71" t="str">
        <f t="shared" si="31"/>
        <v/>
      </c>
      <c r="W71">
        <f t="shared" si="28"/>
        <v>1</v>
      </c>
      <c r="X71">
        <f t="shared" si="29"/>
        <v>29</v>
      </c>
    </row>
    <row r="72" spans="1:27" x14ac:dyDescent="0.25">
      <c r="A72" t="str">
        <f t="shared" si="21"/>
        <v/>
      </c>
      <c r="B72" s="51">
        <v>30</v>
      </c>
      <c r="C72" s="51"/>
      <c r="D72" s="51"/>
      <c r="E72" s="52"/>
      <c r="F72" s="52"/>
      <c r="G72" s="53" cm="1">
        <f t="array" aca="1" ref="G72" ca="1">IF(G71&gt;0,G71*(IF(SUM($R$3,0.01*$M$3)&gt;0.99,0.99,$R$3+0.01*$M$3)),G71)+(($Q$3+$Q$3*S58)+IF(M72=0,$P$3*_xlfn.IFS(J72="НЕУРОЖАЙ",0.25,J72="ОБЫЧНЫЙ",1,J72="РЕКОРД",1.25,J72="",1),0))-$O$3</f>
        <v>-1221638.5294093003</v>
      </c>
      <c r="H72" s="54">
        <f t="shared" ca="1" si="20"/>
        <v>-6.1248058434806181</v>
      </c>
      <c r="I72" s="68">
        <f t="shared" ca="1" si="22"/>
        <v>-4.2873640904364327</v>
      </c>
      <c r="J72" s="51" t="str">
        <f t="shared" ca="1" si="23"/>
        <v/>
      </c>
      <c r="K72" s="51" t="str">
        <f t="shared" ca="1" si="33"/>
        <v/>
      </c>
      <c r="L72" t="str">
        <f t="shared" ca="1" si="34"/>
        <v/>
      </c>
      <c r="M72" s="55">
        <f t="shared" si="26"/>
        <v>6</v>
      </c>
      <c r="N72" t="str">
        <f t="shared" si="32"/>
        <v/>
      </c>
      <c r="R72" s="51">
        <v>30</v>
      </c>
      <c r="T72" s="53">
        <f t="shared" si="30"/>
        <v>-438681.56088509929</v>
      </c>
      <c r="U72" s="54">
        <f t="shared" si="27"/>
        <v>-2.1993734831165028</v>
      </c>
      <c r="V72" t="str">
        <f t="shared" si="31"/>
        <v/>
      </c>
      <c r="W72">
        <f t="shared" si="28"/>
        <v>2</v>
      </c>
      <c r="X72">
        <f t="shared" si="29"/>
        <v>30</v>
      </c>
    </row>
    <row r="73" spans="1:27" x14ac:dyDescent="0.25">
      <c r="A73" t="str">
        <f t="shared" si="21"/>
        <v/>
      </c>
      <c r="B73" s="51">
        <v>31</v>
      </c>
      <c r="C73" s="51"/>
      <c r="D73" s="51"/>
      <c r="E73" s="52"/>
      <c r="F73" s="52"/>
      <c r="G73" s="53" cm="1">
        <f t="array" aca="1" ref="G73" ca="1">IF(G72&gt;0,G72*(IF(SUM($R$3,0.01*$M$3)&gt;0.99,0.99,$R$3+0.01*$M$3)),G72)+(($Q$3+$Q$3*S59)+IF(M73=0,$P$3*_xlfn.IFS(J73="НЕУРОЖАЙ",0.25,J73="ОБЫЧНЫЙ",1,J73="РЕКОРД",1.25,J73="",1),0))-$O$3</f>
        <v>-1374836.3404926336</v>
      </c>
      <c r="H73" s="54">
        <f t="shared" ca="1" si="20"/>
        <v>-6.8928782527433974</v>
      </c>
      <c r="I73" s="68">
        <f t="shared" ca="1" si="22"/>
        <v>-4.8250147769203782</v>
      </c>
      <c r="J73" s="51" t="str">
        <f t="shared" ca="1" si="23"/>
        <v/>
      </c>
      <c r="K73" s="51" t="str">
        <f t="shared" ca="1" si="33"/>
        <v/>
      </c>
      <c r="L73" t="str">
        <f t="shared" ca="1" si="34"/>
        <v/>
      </c>
      <c r="M73" s="55">
        <f t="shared" si="26"/>
        <v>7</v>
      </c>
      <c r="N73" t="str">
        <f t="shared" si="32"/>
        <v/>
      </c>
      <c r="R73" s="51">
        <v>31</v>
      </c>
      <c r="T73" s="53">
        <f t="shared" si="30"/>
        <v>-479396.68576291949</v>
      </c>
      <c r="U73" s="54">
        <f t="shared" si="27"/>
        <v>-2.4035027969572305</v>
      </c>
      <c r="V73" t="str">
        <f t="shared" si="31"/>
        <v/>
      </c>
      <c r="W73">
        <f t="shared" si="28"/>
        <v>3</v>
      </c>
      <c r="X73">
        <f t="shared" si="29"/>
        <v>31</v>
      </c>
    </row>
    <row r="74" spans="1:27" x14ac:dyDescent="0.25">
      <c r="A74" t="str">
        <f t="shared" si="21"/>
        <v>АВГУСТ</v>
      </c>
      <c r="B74" s="51">
        <v>32</v>
      </c>
      <c r="C74" s="51"/>
      <c r="D74" s="51"/>
      <c r="E74" s="52"/>
      <c r="F74" s="52"/>
      <c r="G74" s="53" cm="1">
        <f t="array" aca="1" ref="G74" ca="1">IF(G73&gt;0,G73*(IF(SUM($R$3,0.01*$M$3)&gt;0.99,0.99,$R$3+0.01*$M$3)),G73)+(($Q$3+$Q$3*S60)+IF(M74=0,$P$3*_xlfn.IFS(J74="НЕУРОЖАЙ",0.25,J74="ОБЫЧНЫЙ",1,J74="РЕКОРД",1.25,J74="",1),0))-$O$3</f>
        <v>-1303034.151575967</v>
      </c>
      <c r="H74" s="54">
        <f t="shared" ca="1" si="20"/>
        <v>-6.532890862312823</v>
      </c>
      <c r="I74" s="68">
        <f t="shared" ca="1" si="22"/>
        <v>-4.5730236036189762</v>
      </c>
      <c r="J74" s="51" t="str">
        <f t="shared" ca="1" si="23"/>
        <v>НЕУРОЖАЙ</v>
      </c>
      <c r="K74" s="51">
        <f t="shared" ca="1" si="33"/>
        <v>4</v>
      </c>
      <c r="L74" t="str">
        <f t="shared" ca="1" si="34"/>
        <v/>
      </c>
      <c r="M74" s="55">
        <f t="shared" si="26"/>
        <v>0</v>
      </c>
      <c r="N74">
        <f t="shared" ca="1" si="32"/>
        <v>133</v>
      </c>
      <c r="R74" s="51">
        <v>32</v>
      </c>
      <c r="T74" s="53">
        <f t="shared" ca="1" si="30"/>
        <v>604888.18935926037</v>
      </c>
      <c r="U74" s="54">
        <f t="shared" ca="1" si="27"/>
        <v>3.0326668876688134</v>
      </c>
      <c r="V74">
        <f t="shared" si="31"/>
        <v>8</v>
      </c>
      <c r="W74">
        <f t="shared" si="28"/>
        <v>0</v>
      </c>
      <c r="X74">
        <f t="shared" si="29"/>
        <v>0</v>
      </c>
      <c r="Y74" s="51" t="str">
        <f ca="1">J50</f>
        <v>РЕКОРД</v>
      </c>
      <c r="Z74" s="51">
        <f ca="1">K50</f>
        <v>79</v>
      </c>
      <c r="AA74" s="51">
        <f>N50</f>
        <v>34</v>
      </c>
    </row>
    <row r="75" spans="1:27" x14ac:dyDescent="0.25">
      <c r="A75" t="str">
        <f t="shared" si="21"/>
        <v/>
      </c>
      <c r="B75" s="51">
        <v>33</v>
      </c>
      <c r="C75" s="51"/>
      <c r="D75" s="51"/>
      <c r="E75" s="52"/>
      <c r="F75" s="52"/>
      <c r="G75" s="53" cm="1">
        <f t="array" aca="1" ref="G75" ca="1">IF(G74&gt;0,G74*(IF(SUM($R$3,0.01*$M$3)&gt;0.99,0.99,$R$3+0.01*$M$3)),G74)+(($Q$3+$Q$3*S61)+IF(M75=0,$P$3*_xlfn.IFS(J75="НЕУРОЖАЙ",0.25,J75="ОБЫЧНЫЙ",1,J75="РЕКОРД",1.25,J75="",1),0))-$O$3</f>
        <v>-1456231.9626593003</v>
      </c>
      <c r="H75" s="54">
        <f t="shared" ca="1" si="20"/>
        <v>-7.3009632715756023</v>
      </c>
      <c r="I75" s="68">
        <f t="shared" ca="1" si="22"/>
        <v>-5.1106742901029216</v>
      </c>
      <c r="J75" s="51" t="str">
        <f t="shared" ca="1" si="23"/>
        <v/>
      </c>
      <c r="K75" s="51" t="str">
        <f t="shared" ca="1" si="33"/>
        <v/>
      </c>
      <c r="L75" t="str">
        <f t="shared" ca="1" si="34"/>
        <v/>
      </c>
      <c r="M75" s="55">
        <f t="shared" si="26"/>
        <v>1</v>
      </c>
      <c r="N75" t="str">
        <f t="shared" si="32"/>
        <v/>
      </c>
      <c r="R75" s="51">
        <v>33</v>
      </c>
      <c r="T75" s="53">
        <f t="shared" ca="1" si="30"/>
        <v>564173.06448144012</v>
      </c>
      <c r="U75" s="54">
        <f t="shared" ca="1" si="27"/>
        <v>2.8285375738280853</v>
      </c>
      <c r="V75" t="str">
        <f t="shared" si="31"/>
        <v/>
      </c>
      <c r="W75">
        <f t="shared" si="28"/>
        <v>1</v>
      </c>
      <c r="X75">
        <f t="shared" si="29"/>
        <v>1</v>
      </c>
    </row>
    <row r="76" spans="1:27" x14ac:dyDescent="0.25">
      <c r="A76" t="str">
        <f t="shared" si="21"/>
        <v/>
      </c>
      <c r="B76" s="51">
        <v>34</v>
      </c>
      <c r="C76" s="51"/>
      <c r="D76" s="51"/>
      <c r="E76" s="52"/>
      <c r="F76" s="52"/>
      <c r="G76" s="53" cm="1">
        <f t="array" aca="1" ref="G76" ca="1">IF(G75&gt;0,G75*(IF(SUM($R$3,0.01*$M$3)&gt;0.99,0.99,$R$3+0.01*$M$3)),G75)+(($Q$3+$Q$3*S62)+IF(M76=0,$P$3*_xlfn.IFS(J76="НЕУРОЖАЙ",0.25,J76="ОБЫЧНЫЙ",1,J76="РЕКОРД",1.25,J76="",1),0))-$O$3</f>
        <v>-1609429.7737426336</v>
      </c>
      <c r="H76" s="54">
        <f t="shared" ca="1" si="20"/>
        <v>-8.0690356808383807</v>
      </c>
      <c r="I76" s="68">
        <f t="shared" ca="1" si="22"/>
        <v>-5.6483249765868662</v>
      </c>
      <c r="J76" s="51" t="str">
        <f t="shared" ca="1" si="23"/>
        <v/>
      </c>
      <c r="K76" s="51" t="str">
        <f t="shared" ca="1" si="33"/>
        <v/>
      </c>
      <c r="L76" t="str">
        <f t="shared" ca="1" si="34"/>
        <v/>
      </c>
      <c r="M76" s="55">
        <f t="shared" si="26"/>
        <v>2</v>
      </c>
      <c r="N76" t="str">
        <f t="shared" si="32"/>
        <v/>
      </c>
      <c r="R76" s="51">
        <v>34</v>
      </c>
      <c r="T76" s="53">
        <f t="shared" ca="1" si="30"/>
        <v>523457.93960361986</v>
      </c>
      <c r="U76" s="54">
        <f t="shared" ca="1" si="27"/>
        <v>2.6244082599873573</v>
      </c>
      <c r="V76" t="str">
        <f t="shared" si="31"/>
        <v/>
      </c>
      <c r="W76">
        <f t="shared" si="28"/>
        <v>2</v>
      </c>
      <c r="X76">
        <f t="shared" si="29"/>
        <v>2</v>
      </c>
    </row>
    <row r="77" spans="1:27" x14ac:dyDescent="0.25">
      <c r="A77" t="str">
        <f t="shared" si="21"/>
        <v/>
      </c>
      <c r="B77" s="51">
        <v>35</v>
      </c>
      <c r="C77" s="51"/>
      <c r="D77" s="51"/>
      <c r="E77" s="52"/>
      <c r="F77" s="52"/>
      <c r="G77" s="53" cm="1">
        <f t="array" aca="1" ref="G77" ca="1">IF(G76&gt;0,G76*(IF(SUM($R$3,0.01*$M$3)&gt;0.99,0.99,$R$3+0.01*$M$3)),G76)+(($Q$3+$Q$3*S63)+IF(M77=0,$P$3*_xlfn.IFS(J77="НЕУРОЖАЙ",0.25,J77="ОБЫЧНЫЙ",1,J77="РЕКОРД",1.25,J77="",1),0))-$O$3</f>
        <v>-1762627.584825967</v>
      </c>
      <c r="H77" s="54">
        <f t="shared" ca="1" si="20"/>
        <v>-8.8371080901011609</v>
      </c>
      <c r="I77" s="68">
        <f t="shared" ca="1" si="22"/>
        <v>-6.1859756630708125</v>
      </c>
      <c r="J77" s="51" t="str">
        <f t="shared" ca="1" si="23"/>
        <v/>
      </c>
      <c r="K77" s="51" t="str">
        <f t="shared" ca="1" si="33"/>
        <v/>
      </c>
      <c r="L77" t="str">
        <f t="shared" ca="1" si="34"/>
        <v/>
      </c>
      <c r="M77" s="55">
        <f t="shared" si="26"/>
        <v>3</v>
      </c>
      <c r="N77" t="str">
        <f t="shared" si="32"/>
        <v/>
      </c>
      <c r="R77" s="51">
        <v>35</v>
      </c>
      <c r="T77" s="53">
        <f t="shared" ca="1" si="30"/>
        <v>482742.8147257996</v>
      </c>
      <c r="U77" s="54">
        <f t="shared" ca="1" si="27"/>
        <v>2.4202789461466292</v>
      </c>
      <c r="V77" t="str">
        <f t="shared" si="31"/>
        <v/>
      </c>
      <c r="W77">
        <f t="shared" si="28"/>
        <v>3</v>
      </c>
      <c r="X77">
        <f t="shared" si="29"/>
        <v>3</v>
      </c>
    </row>
    <row r="78" spans="1:27" x14ac:dyDescent="0.25">
      <c r="A78" t="str">
        <f t="shared" si="21"/>
        <v/>
      </c>
      <c r="B78" s="51">
        <v>36</v>
      </c>
      <c r="C78" s="51"/>
      <c r="D78" s="51"/>
      <c r="E78" s="52"/>
      <c r="F78" s="52"/>
      <c r="G78" s="53" cm="1">
        <f t="array" aca="1" ref="G78" ca="1">IF(G77&gt;0,G77*(IF(SUM($R$3,0.01*$M$3)&gt;0.99,0.99,$R$3+0.01*$M$3)),G77)+(($Q$3+$Q$3*S64)+IF(M78=0,$P$3*_xlfn.IFS(J78="НЕУРОЖАЙ",0.25,J78="ОБЫЧНЫЙ",1,J78="РЕКОРД",1.25,J78="",1),0))-$O$3</f>
        <v>-1915825.3959093003</v>
      </c>
      <c r="H78" s="54">
        <f t="shared" ca="1" si="20"/>
        <v>-9.6051804993639394</v>
      </c>
      <c r="I78" s="68">
        <f t="shared" ca="1" si="22"/>
        <v>-6.723626349554757</v>
      </c>
      <c r="J78" s="51" t="str">
        <f t="shared" ca="1" si="23"/>
        <v/>
      </c>
      <c r="K78" s="51" t="str">
        <f t="shared" ca="1" si="33"/>
        <v/>
      </c>
      <c r="L78" t="str">
        <f t="shared" ca="1" si="34"/>
        <v/>
      </c>
      <c r="M78" s="55">
        <f t="shared" si="26"/>
        <v>4</v>
      </c>
      <c r="N78" t="str">
        <f t="shared" si="32"/>
        <v/>
      </c>
      <c r="R78" s="51">
        <v>36</v>
      </c>
      <c r="T78" s="53">
        <f t="shared" ca="1" si="30"/>
        <v>297204.84543023951</v>
      </c>
      <c r="U78" s="54">
        <f t="shared" ca="1" si="27"/>
        <v>1.4900659484619123</v>
      </c>
      <c r="V78">
        <f t="shared" si="31"/>
        <v>9</v>
      </c>
      <c r="W78">
        <f t="shared" si="28"/>
        <v>0</v>
      </c>
      <c r="X78">
        <f t="shared" si="29"/>
        <v>4</v>
      </c>
    </row>
    <row r="79" spans="1:27" x14ac:dyDescent="0.25">
      <c r="A79" t="str">
        <f t="shared" si="21"/>
        <v/>
      </c>
      <c r="B79" s="51">
        <v>37</v>
      </c>
      <c r="C79" s="51"/>
      <c r="D79" s="51"/>
      <c r="E79" s="52"/>
      <c r="F79" s="52"/>
      <c r="G79" s="53" cm="1">
        <f t="array" aca="1" ref="G79" ca="1">IF(G78&gt;0,G78*(IF(SUM($R$3,0.01*$M$3)&gt;0.99,0.99,$R$3+0.01*$M$3)),G78)+(($Q$3+$Q$3*S65)+IF(M79=0,$P$3*_xlfn.IFS(J79="НЕУРОЖАЙ",0.25,J79="ОБЫЧНЫЙ",1,J79="РЕКОРД",1.25,J79="",1),0))-$O$3</f>
        <v>-2069023.2069926336</v>
      </c>
      <c r="H79" s="54">
        <f t="shared" ca="1" si="20"/>
        <v>-10.37325290862672</v>
      </c>
      <c r="I79" s="68">
        <f t="shared" ca="1" si="22"/>
        <v>-7.2612770360387033</v>
      </c>
      <c r="J79" s="51" t="str">
        <f t="shared" ca="1" si="23"/>
        <v/>
      </c>
      <c r="K79" s="51" t="str">
        <f t="shared" ca="1" si="33"/>
        <v/>
      </c>
      <c r="L79" t="str">
        <f t="shared" ca="1" si="34"/>
        <v/>
      </c>
      <c r="M79" s="55">
        <f t="shared" si="26"/>
        <v>5</v>
      </c>
      <c r="N79" t="str">
        <f t="shared" si="32"/>
        <v/>
      </c>
      <c r="R79" s="51">
        <v>37</v>
      </c>
      <c r="T79" s="53">
        <f t="shared" ca="1" si="30"/>
        <v>256489.72055241931</v>
      </c>
      <c r="U79" s="54">
        <f t="shared" ca="1" si="27"/>
        <v>1.2859366346211847</v>
      </c>
      <c r="V79" t="str">
        <f t="shared" si="31"/>
        <v/>
      </c>
      <c r="W79">
        <f t="shared" si="28"/>
        <v>1</v>
      </c>
      <c r="X79">
        <f t="shared" si="29"/>
        <v>5</v>
      </c>
    </row>
    <row r="80" spans="1:27" x14ac:dyDescent="0.25">
      <c r="A80" t="str">
        <f t="shared" si="21"/>
        <v/>
      </c>
      <c r="B80" s="51">
        <v>38</v>
      </c>
      <c r="C80" s="51"/>
      <c r="D80" s="51"/>
      <c r="E80" s="52"/>
      <c r="F80" s="52"/>
      <c r="G80" s="53" cm="1">
        <f t="array" aca="1" ref="G80" ca="1">IF(G79&gt;0,G79*(IF(SUM($R$3,0.01*$M$3)&gt;0.99,0.99,$R$3+0.01*$M$3)),G79)+(($Q$3+$Q$3*S66)+IF(M80=0,$P$3*_xlfn.IFS(J80="НЕУРОЖАЙ",0.25,J80="ОБЫЧНЫЙ",1,J80="РЕКОРД",1.25,J80="",1),0))-$O$3</f>
        <v>-2222221.0180759672</v>
      </c>
      <c r="H80" s="54">
        <f t="shared" ca="1" si="20"/>
        <v>-11.1413253178895</v>
      </c>
      <c r="I80" s="68">
        <f t="shared" ca="1" si="22"/>
        <v>-7.7989277225226497</v>
      </c>
      <c r="J80" s="51" t="str">
        <f t="shared" ca="1" si="23"/>
        <v/>
      </c>
      <c r="K80" s="51" t="str">
        <f t="shared" ca="1" si="33"/>
        <v/>
      </c>
      <c r="L80" t="str">
        <f t="shared" ca="1" si="34"/>
        <v/>
      </c>
      <c r="M80" s="55">
        <f t="shared" si="26"/>
        <v>6</v>
      </c>
      <c r="N80" t="str">
        <f t="shared" si="32"/>
        <v/>
      </c>
      <c r="R80" s="51">
        <v>38</v>
      </c>
      <c r="T80" s="53">
        <f t="shared" ca="1" si="30"/>
        <v>215774.59567459911</v>
      </c>
      <c r="U80" s="54">
        <f t="shared" ca="1" si="27"/>
        <v>1.0818073207804568</v>
      </c>
      <c r="V80" t="str">
        <f t="shared" si="31"/>
        <v/>
      </c>
      <c r="W80">
        <f t="shared" si="28"/>
        <v>2</v>
      </c>
      <c r="X80">
        <f t="shared" si="29"/>
        <v>6</v>
      </c>
    </row>
    <row r="81" spans="1:24" x14ac:dyDescent="0.25">
      <c r="A81" t="str">
        <f t="shared" si="21"/>
        <v/>
      </c>
      <c r="B81" s="51">
        <v>39</v>
      </c>
      <c r="C81" s="51"/>
      <c r="D81" s="51"/>
      <c r="E81" s="52"/>
      <c r="F81" s="52"/>
      <c r="G81" s="53" cm="1">
        <f t="array" aca="1" ref="G81" ca="1">IF(G80&gt;0,G80*(IF(SUM($R$3,0.01*$M$3)&gt;0.99,0.99,$R$3+0.01*$M$3)),G80)+(($Q$3+$Q$3*S67)+IF(M81=0,$P$3*_xlfn.IFS(J81="НЕУРОЖАЙ",0.25,J81="ОБЫЧНЫЙ",1,J81="РЕКОРД",1.25,J81="",1),0))-$O$3</f>
        <v>-2375418.8291593003</v>
      </c>
      <c r="H81" s="54">
        <f t="shared" ca="1" si="20"/>
        <v>-11.909397727152278</v>
      </c>
      <c r="I81" s="68">
        <f t="shared" ca="1" si="22"/>
        <v>-8.3365784090065951</v>
      </c>
      <c r="J81" s="51" t="str">
        <f t="shared" ca="1" si="23"/>
        <v/>
      </c>
      <c r="K81" s="51" t="str">
        <f t="shared" ca="1" si="33"/>
        <v/>
      </c>
      <c r="L81" t="str">
        <f t="shared" ca="1" si="34"/>
        <v/>
      </c>
      <c r="M81" s="55">
        <f t="shared" si="26"/>
        <v>7</v>
      </c>
      <c r="N81" t="str">
        <f t="shared" si="32"/>
        <v/>
      </c>
      <c r="R81" s="51">
        <v>39</v>
      </c>
      <c r="T81" s="53">
        <f t="shared" ca="1" si="30"/>
        <v>175059.47079677886</v>
      </c>
      <c r="U81" s="54">
        <f t="shared" ca="1" si="27"/>
        <v>0.87767800693972864</v>
      </c>
      <c r="V81" t="str">
        <f t="shared" si="31"/>
        <v/>
      </c>
      <c r="W81">
        <f t="shared" si="28"/>
        <v>3</v>
      </c>
      <c r="X81">
        <f t="shared" si="29"/>
        <v>7</v>
      </c>
    </row>
    <row r="82" spans="1:24" x14ac:dyDescent="0.25">
      <c r="A82" t="str">
        <f t="shared" si="21"/>
        <v>АВГУСТ</v>
      </c>
      <c r="B82" s="51">
        <v>40</v>
      </c>
      <c r="C82" s="51"/>
      <c r="D82" s="51"/>
      <c r="E82" s="52"/>
      <c r="F82" s="52"/>
      <c r="G82" s="53" cm="1">
        <f t="array" aca="1" ref="G82" ca="1">IF(G81&gt;0,G81*(IF(SUM($R$3,0.01*$M$3)&gt;0.99,0.99,$R$3+0.01*$M$3)),G81)+(($Q$3+$Q$3*S68)+IF(M82=0,$P$3*_xlfn.IFS(J82="НЕУРОЖАЙ",0.25,J82="ОБЫЧНЫЙ",1,J82="РЕКОРД",1.25,J82="",1),0))-$O$3</f>
        <v>-1628616.6402426336</v>
      </c>
      <c r="H82" s="54">
        <f t="shared" ca="1" si="20"/>
        <v>-8.1652309376416401</v>
      </c>
      <c r="I82" s="68">
        <f t="shared" ca="1" si="22"/>
        <v>-5.7156616563491474</v>
      </c>
      <c r="J82" s="51" t="str">
        <f t="shared" ca="1" si="23"/>
        <v>ОБЫЧНЫЙ</v>
      </c>
      <c r="K82" s="51">
        <f t="shared" ca="1" si="33"/>
        <v>59</v>
      </c>
      <c r="L82">
        <f t="shared" ca="1" si="34"/>
        <v>96</v>
      </c>
      <c r="M82" s="55">
        <f t="shared" si="26"/>
        <v>0</v>
      </c>
      <c r="N82">
        <f t="shared" ca="1" si="32"/>
        <v>1</v>
      </c>
      <c r="R82" s="51">
        <v>40</v>
      </c>
      <c r="T82" s="53">
        <f t="shared" ca="1" si="30"/>
        <v>81826.504679924969</v>
      </c>
      <c r="U82" s="54">
        <f t="shared" ca="1" si="27"/>
        <v>0.41024529101708213</v>
      </c>
      <c r="V82">
        <f t="shared" si="31"/>
        <v>10</v>
      </c>
      <c r="W82">
        <f t="shared" si="28"/>
        <v>0</v>
      </c>
      <c r="X82">
        <f t="shared" si="29"/>
        <v>8</v>
      </c>
    </row>
    <row r="83" spans="1:24" x14ac:dyDescent="0.25">
      <c r="A83" t="str">
        <f t="shared" si="21"/>
        <v/>
      </c>
      <c r="B83" s="51">
        <v>41</v>
      </c>
      <c r="C83" s="51"/>
      <c r="D83" s="51"/>
      <c r="E83" s="52"/>
      <c r="F83" s="52"/>
      <c r="G83" s="53" cm="1">
        <f t="array" aca="1" ref="G83" ca="1">IF(G82&gt;0,G82*(IF(SUM($R$3,0.01*$M$3)&gt;0.99,0.99,$R$3+0.01*$M$3)),G82)+(($Q$3+$Q$3*S69)+IF(M83=0,$P$3*_xlfn.IFS(J83="НЕУРОЖАЙ",0.25,J83="ОБЫЧНЫЙ",1,J83="РЕКОРД",1.25,J83="",1),0))-$O$3</f>
        <v>-1781814.451325967</v>
      </c>
      <c r="H83" s="54">
        <f t="shared" ca="1" si="20"/>
        <v>-8.9333033469044185</v>
      </c>
      <c r="I83" s="68">
        <f t="shared" ca="1" si="22"/>
        <v>-6.2533123428330928</v>
      </c>
      <c r="J83" s="51" t="str">
        <f t="shared" ca="1" si="23"/>
        <v/>
      </c>
      <c r="K83" s="51" t="str">
        <f t="shared" ca="1" si="33"/>
        <v/>
      </c>
      <c r="L83" t="str">
        <f t="shared" ca="1" si="34"/>
        <v/>
      </c>
      <c r="M83" s="55">
        <f t="shared" si="26"/>
        <v>1</v>
      </c>
      <c r="N83" t="str">
        <f t="shared" si="32"/>
        <v/>
      </c>
      <c r="R83" s="51">
        <v>41</v>
      </c>
      <c r="T83" s="53">
        <f t="shared" ca="1" si="30"/>
        <v>41111.379802104741</v>
      </c>
      <c r="U83" s="54">
        <f t="shared" ca="1" si="27"/>
        <v>0.20611597717635416</v>
      </c>
      <c r="V83" t="str">
        <f t="shared" si="31"/>
        <v/>
      </c>
      <c r="W83">
        <f t="shared" si="28"/>
        <v>1</v>
      </c>
      <c r="X83">
        <f t="shared" si="29"/>
        <v>9</v>
      </c>
    </row>
    <row r="84" spans="1:24" x14ac:dyDescent="0.25">
      <c r="A84" t="str">
        <f t="shared" si="21"/>
        <v/>
      </c>
      <c r="B84" s="51">
        <v>42</v>
      </c>
      <c r="C84" s="51"/>
      <c r="D84" s="51"/>
      <c r="E84" s="52"/>
      <c r="F84" s="52"/>
      <c r="G84" s="53" cm="1">
        <f t="array" aca="1" ref="G84" ca="1">IF(G83&gt;0,G83*(IF(SUM($R$3,0.01*$M$3)&gt;0.99,0.99,$R$3+0.01*$M$3)),G83)+(($Q$3+$Q$3*S70)+IF(M84=0,$P$3*_xlfn.IFS(J84="НЕУРОЖАЙ",0.25,J84="ОБЫЧНЫЙ",1,J84="РЕКОРД",1.25,J84="",1),0))-$O$3</f>
        <v>-1935012.2624093003</v>
      </c>
      <c r="H84" s="54">
        <f t="shared" ca="1" si="20"/>
        <v>-9.7013757561671987</v>
      </c>
      <c r="I84" s="68">
        <f t="shared" ca="1" si="22"/>
        <v>-6.7909630293170391</v>
      </c>
      <c r="J84" s="51" t="str">
        <f t="shared" ca="1" si="23"/>
        <v/>
      </c>
      <c r="K84" s="51" t="str">
        <f t="shared" ca="1" si="33"/>
        <v/>
      </c>
      <c r="L84" t="str">
        <f t="shared" ca="1" si="34"/>
        <v/>
      </c>
      <c r="M84" s="55">
        <f t="shared" si="26"/>
        <v>2</v>
      </c>
      <c r="N84" t="str">
        <f t="shared" si="32"/>
        <v/>
      </c>
      <c r="R84" s="51">
        <v>42</v>
      </c>
      <c r="T84" s="53">
        <f t="shared" ca="1" si="30"/>
        <v>396.25492428450525</v>
      </c>
      <c r="U84" s="54">
        <f t="shared" ca="1" si="27"/>
        <v>1.9866633356261524E-3</v>
      </c>
      <c r="V84" t="str">
        <f t="shared" si="31"/>
        <v/>
      </c>
      <c r="W84">
        <f t="shared" si="28"/>
        <v>2</v>
      </c>
      <c r="X84">
        <f t="shared" si="29"/>
        <v>10</v>
      </c>
    </row>
    <row r="85" spans="1:24" x14ac:dyDescent="0.25">
      <c r="A85" t="str">
        <f t="shared" si="21"/>
        <v/>
      </c>
      <c r="B85" s="51">
        <v>43</v>
      </c>
      <c r="C85" s="51"/>
      <c r="D85" s="51"/>
      <c r="E85" s="52"/>
      <c r="F85" s="52"/>
      <c r="G85" s="53" cm="1">
        <f t="array" aca="1" ref="G85" ca="1">IF(G84&gt;0,G84*(IF(SUM($R$3,0.01*$M$3)&gt;0.99,0.99,$R$3+0.01*$M$3)),G84)+(($Q$3+$Q$3*S71)+IF(M85=0,$P$3*_xlfn.IFS(J85="НЕУРОЖАЙ",0.25,J85="ОБЫЧНЫЙ",1,J85="РЕКОРД",1.25,J85="",1),0))-$O$3</f>
        <v>-2088210.0734926336</v>
      </c>
      <c r="H85" s="54">
        <f t="shared" ca="1" si="20"/>
        <v>-10.469448165429977</v>
      </c>
      <c r="I85" s="68">
        <f t="shared" ca="1" si="22"/>
        <v>-7.3286137158009836</v>
      </c>
      <c r="J85" s="51" t="str">
        <f t="shared" ca="1" si="23"/>
        <v/>
      </c>
      <c r="K85" s="51" t="str">
        <f t="shared" ca="1" si="33"/>
        <v/>
      </c>
      <c r="L85" t="str">
        <f t="shared" ca="1" si="34"/>
        <v/>
      </c>
      <c r="M85" s="55">
        <f t="shared" si="26"/>
        <v>3</v>
      </c>
      <c r="N85" t="str">
        <f t="shared" si="32"/>
        <v/>
      </c>
      <c r="R85" s="51">
        <v>43</v>
      </c>
      <c r="T85" s="53">
        <f t="shared" ca="1" si="30"/>
        <v>-40318.86995353573</v>
      </c>
      <c r="U85" s="54">
        <f t="shared" ca="1" si="27"/>
        <v>-0.20214265050510186</v>
      </c>
      <c r="V85" t="str">
        <f t="shared" si="31"/>
        <v/>
      </c>
      <c r="W85">
        <f t="shared" si="28"/>
        <v>3</v>
      </c>
      <c r="X85">
        <f t="shared" si="29"/>
        <v>11</v>
      </c>
    </row>
    <row r="86" spans="1:24" x14ac:dyDescent="0.25">
      <c r="A86" t="str">
        <f t="shared" si="21"/>
        <v/>
      </c>
      <c r="B86" s="51">
        <v>44</v>
      </c>
      <c r="C86" s="51"/>
      <c r="D86" s="51"/>
      <c r="E86" s="52"/>
      <c r="F86" s="52"/>
      <c r="G86" s="53" cm="1">
        <f t="array" aca="1" ref="G86" ca="1">IF(G85&gt;0,G85*(IF(SUM($R$3,0.01*$M$3)&gt;0.99,0.99,$R$3+0.01*$M$3)),G85)+(($Q$3+$Q$3*S72)+IF(M86=0,$P$3*_xlfn.IFS(J86="НЕУРОЖАЙ",0.25,J86="ОБЫЧНЫЙ",1,J86="РЕКОРД",1.25,J86="",1),0))-$O$3</f>
        <v>-2241407.8845759672</v>
      </c>
      <c r="H86" s="54">
        <f t="shared" ca="1" si="20"/>
        <v>-11.237520574692757</v>
      </c>
      <c r="I86" s="68">
        <f t="shared" ca="1" si="22"/>
        <v>-7.86626440228493</v>
      </c>
      <c r="J86" s="51" t="str">
        <f t="shared" ca="1" si="23"/>
        <v/>
      </c>
      <c r="K86" s="51" t="str">
        <f t="shared" ca="1" si="33"/>
        <v/>
      </c>
      <c r="L86" t="str">
        <f t="shared" ca="1" si="34"/>
        <v/>
      </c>
      <c r="M86" s="55">
        <f t="shared" si="26"/>
        <v>4</v>
      </c>
      <c r="N86" t="str">
        <f t="shared" si="32"/>
        <v/>
      </c>
      <c r="R86" s="51">
        <v>44</v>
      </c>
      <c r="T86" s="53">
        <f t="shared" ca="1" si="30"/>
        <v>-81033.994831355958</v>
      </c>
      <c r="U86" s="54">
        <f t="shared" ca="1" si="27"/>
        <v>-0.40627196434582979</v>
      </c>
      <c r="V86">
        <f t="shared" si="31"/>
        <v>11</v>
      </c>
      <c r="W86">
        <f t="shared" si="28"/>
        <v>0</v>
      </c>
      <c r="X86">
        <f t="shared" si="29"/>
        <v>12</v>
      </c>
    </row>
    <row r="87" spans="1:24" x14ac:dyDescent="0.25">
      <c r="A87" t="str">
        <f t="shared" si="21"/>
        <v/>
      </c>
      <c r="B87" s="51">
        <v>45</v>
      </c>
      <c r="C87" s="51"/>
      <c r="D87" s="51"/>
      <c r="E87" s="52"/>
      <c r="F87" s="52"/>
      <c r="G87" s="53" cm="1">
        <f t="array" aca="1" ref="G87" ca="1">IF(G86&gt;0,G86*(IF(SUM($R$3,0.01*$M$3)&gt;0.99,0.99,$R$3+0.01*$M$3)),G86)+(($Q$3+$Q$3*S73)+IF(M87=0,$P$3*_xlfn.IFS(J87="НЕУРОЖАЙ",0.25,J87="ОБЫЧНЫЙ",1,J87="РЕКОРД",1.25,J87="",1),0))-$O$3</f>
        <v>-2394605.6956593003</v>
      </c>
      <c r="H87" s="54">
        <f t="shared" ca="1" si="20"/>
        <v>-12.005592983955536</v>
      </c>
      <c r="I87" s="68">
        <f t="shared" ca="1" si="22"/>
        <v>-8.4039150887688745</v>
      </c>
      <c r="J87" s="51" t="str">
        <f t="shared" ca="1" si="23"/>
        <v/>
      </c>
      <c r="K87" s="51" t="str">
        <f t="shared" ca="1" si="33"/>
        <v/>
      </c>
      <c r="L87" t="str">
        <f t="shared" ca="1" si="34"/>
        <v/>
      </c>
      <c r="M87" s="55">
        <f t="shared" si="26"/>
        <v>5</v>
      </c>
      <c r="N87" t="str">
        <f t="shared" si="32"/>
        <v/>
      </c>
      <c r="R87" s="51">
        <v>45</v>
      </c>
      <c r="T87" s="53">
        <f t="shared" ca="1" si="30"/>
        <v>-121749.1197091762</v>
      </c>
      <c r="U87" s="54">
        <f t="shared" ca="1" si="27"/>
        <v>-0.61040127818655787</v>
      </c>
      <c r="V87" t="str">
        <f t="shared" si="31"/>
        <v/>
      </c>
      <c r="W87">
        <f t="shared" si="28"/>
        <v>1</v>
      </c>
      <c r="X87">
        <f t="shared" si="29"/>
        <v>13</v>
      </c>
    </row>
    <row r="88" spans="1:24" x14ac:dyDescent="0.25">
      <c r="A88" t="str">
        <f t="shared" si="21"/>
        <v/>
      </c>
      <c r="B88" s="51">
        <v>46</v>
      </c>
      <c r="C88" s="51"/>
      <c r="D88" s="51"/>
      <c r="E88" s="52"/>
      <c r="F88" s="52"/>
      <c r="G88" s="53" cm="1">
        <f t="array" aca="1" ref="G88" ca="1">IF(G87&gt;0,G87*(IF(SUM($R$3,0.01*$M$3)&gt;0.99,0.99,$R$3+0.01*$M$3)),G87)+(($Q$3+$Q$3*S74)+IF(M88=0,$P$3*_xlfn.IFS(J88="НЕУРОЖАЙ",0.25,J88="ОБЫЧНЫЙ",1,J88="РЕКОРД",1.25,J88="",1),0))-$O$3</f>
        <v>-2547803.5067426334</v>
      </c>
      <c r="H88" s="54">
        <f t="shared" ca="1" si="20"/>
        <v>-12.773665393218314</v>
      </c>
      <c r="I88" s="68">
        <f t="shared" ca="1" si="22"/>
        <v>-8.941565775252819</v>
      </c>
      <c r="J88" s="51" t="str">
        <f t="shared" ca="1" si="23"/>
        <v/>
      </c>
      <c r="K88" s="51" t="str">
        <f t="shared" ca="1" si="33"/>
        <v/>
      </c>
      <c r="L88" t="str">
        <f t="shared" ca="1" si="34"/>
        <v/>
      </c>
      <c r="M88" s="55">
        <f t="shared" si="26"/>
        <v>6</v>
      </c>
      <c r="N88" t="str">
        <f t="shared" si="32"/>
        <v/>
      </c>
      <c r="R88" s="51">
        <v>46</v>
      </c>
      <c r="T88" s="53">
        <f t="shared" ca="1" si="30"/>
        <v>-162464.24458699644</v>
      </c>
      <c r="U88" s="54">
        <f t="shared" ca="1" si="27"/>
        <v>-0.81453059202728584</v>
      </c>
      <c r="V88" t="str">
        <f t="shared" si="31"/>
        <v/>
      </c>
      <c r="W88">
        <f t="shared" si="28"/>
        <v>2</v>
      </c>
      <c r="X88">
        <f t="shared" si="29"/>
        <v>14</v>
      </c>
    </row>
    <row r="89" spans="1:24" x14ac:dyDescent="0.25">
      <c r="A89" t="str">
        <f t="shared" si="21"/>
        <v/>
      </c>
      <c r="B89" s="51">
        <v>47</v>
      </c>
      <c r="C89" s="51"/>
      <c r="D89" s="51"/>
      <c r="E89" s="52"/>
      <c r="F89" s="52"/>
      <c r="G89" s="53" cm="1">
        <f t="array" aca="1" ref="G89" ca="1">IF(G88&gt;0,G88*(IF(SUM($R$3,0.01*$M$3)&gt;0.99,0.99,$R$3+0.01*$M$3)),G88)+(($Q$3+$Q$3*S75)+IF(M89=0,$P$3*_xlfn.IFS(J89="НЕУРОЖАЙ",0.25,J89="ОБЫЧНЫЙ",1,J89="РЕКОРД",1.25,J89="",1),0))-$O$3</f>
        <v>-2701001.3178259665</v>
      </c>
      <c r="H89" s="54">
        <f t="shared" ca="1" si="20"/>
        <v>-13.541737802481093</v>
      </c>
      <c r="I89" s="68">
        <f t="shared" ca="1" si="22"/>
        <v>-9.4792164617367636</v>
      </c>
      <c r="J89" s="51" t="str">
        <f t="shared" ca="1" si="23"/>
        <v/>
      </c>
      <c r="K89" s="51" t="str">
        <f t="shared" ca="1" si="33"/>
        <v/>
      </c>
      <c r="L89" t="str">
        <f t="shared" ca="1" si="34"/>
        <v/>
      </c>
      <c r="M89" s="55">
        <f t="shared" si="26"/>
        <v>7</v>
      </c>
      <c r="N89" t="str">
        <f t="shared" si="32"/>
        <v/>
      </c>
      <c r="R89" s="51">
        <v>47</v>
      </c>
      <c r="T89" s="53">
        <f t="shared" ca="1" si="30"/>
        <v>-203179.3694648167</v>
      </c>
      <c r="U89" s="54">
        <f t="shared" ca="1" si="27"/>
        <v>-1.0186599058680139</v>
      </c>
      <c r="V89" t="str">
        <f t="shared" si="31"/>
        <v/>
      </c>
      <c r="W89">
        <f t="shared" si="28"/>
        <v>3</v>
      </c>
      <c r="X89">
        <f t="shared" si="29"/>
        <v>15</v>
      </c>
    </row>
    <row r="90" spans="1:24" x14ac:dyDescent="0.25">
      <c r="A90" t="str">
        <f t="shared" si="21"/>
        <v>АВГУСТ</v>
      </c>
      <c r="B90" s="51">
        <v>48</v>
      </c>
      <c r="C90" s="51"/>
      <c r="D90" s="51"/>
      <c r="E90" s="52"/>
      <c r="F90" s="52"/>
      <c r="G90" s="53" cm="1">
        <f t="array" aca="1" ref="G90" ca="1">IF(G89&gt;0,G89*(IF(SUM($R$3,0.01*$M$3)&gt;0.99,0.99,$R$3+0.01*$M$3)),G89)+(($Q$3+$Q$3*S76)+IF(M90=0,$P$3*_xlfn.IFS(J90="НЕУРОЖАЙ",0.25,J90="ОБЫЧНЫЙ",1,J90="РЕКОРД",1.25,J90="",1),0))-$O$3</f>
        <v>-2629199.1289092996</v>
      </c>
      <c r="H90" s="54">
        <f t="shared" ca="1" si="20"/>
        <v>-13.181750412050516</v>
      </c>
      <c r="I90" s="68">
        <f t="shared" ca="1" si="22"/>
        <v>-9.2272252884353598</v>
      </c>
      <c r="J90" s="51" t="str">
        <f ca="1">_xlfn.IFS(AND(K90&gt;0,K90&lt;34),"НЕУРОЖАЙ",AND(L90&gt;0,L90&lt;11),"РЕКОРД",NOT(M90=0),"",AND(K90&gt;33,L90&gt;10),"ОБЫЧНЫЙ")</f>
        <v>НЕУРОЖАЙ</v>
      </c>
      <c r="K90" s="51">
        <f t="shared" ca="1" si="33"/>
        <v>8</v>
      </c>
      <c r="L90" t="str">
        <f t="shared" ca="1" si="34"/>
        <v/>
      </c>
      <c r="M90" s="55">
        <f t="shared" si="26"/>
        <v>0</v>
      </c>
      <c r="N90">
        <f ca="1">IF(M90=0,IF(J82="НЕУРОЖАЙ",1,N82+33),"")</f>
        <v>34</v>
      </c>
      <c r="R90" s="51">
        <v>48</v>
      </c>
      <c r="T90" s="53">
        <f t="shared" ca="1" si="30"/>
        <v>-243894.49434263696</v>
      </c>
      <c r="U90" s="54">
        <f t="shared" ca="1" si="27"/>
        <v>-1.222789219708742</v>
      </c>
      <c r="V90">
        <f t="shared" si="31"/>
        <v>12</v>
      </c>
      <c r="W90">
        <f t="shared" si="28"/>
        <v>0</v>
      </c>
      <c r="X90">
        <f t="shared" si="29"/>
        <v>16</v>
      </c>
    </row>
    <row r="91" spans="1:24" x14ac:dyDescent="0.25">
      <c r="R91" s="51">
        <v>49</v>
      </c>
      <c r="T91" s="53">
        <f t="shared" ca="1" si="30"/>
        <v>-284609.61922045721</v>
      </c>
      <c r="U91" s="54">
        <f t="shared" ca="1" si="27"/>
        <v>-1.4269185335494703</v>
      </c>
      <c r="V91" t="str">
        <f t="shared" si="31"/>
        <v/>
      </c>
      <c r="W91">
        <f t="shared" si="28"/>
        <v>1</v>
      </c>
      <c r="X91">
        <f t="shared" si="29"/>
        <v>17</v>
      </c>
    </row>
    <row r="92" spans="1:24" x14ac:dyDescent="0.25">
      <c r="R92" s="51">
        <v>50</v>
      </c>
      <c r="T92" s="53">
        <f t="shared" ca="1" si="30"/>
        <v>-325324.74409827741</v>
      </c>
      <c r="U92" s="54">
        <f t="shared" ca="1" si="27"/>
        <v>-1.6310478473901979</v>
      </c>
      <c r="V92" t="str">
        <f t="shared" si="31"/>
        <v/>
      </c>
      <c r="W92">
        <f t="shared" si="28"/>
        <v>2</v>
      </c>
      <c r="X92">
        <f t="shared" si="29"/>
        <v>18</v>
      </c>
    </row>
    <row r="93" spans="1:24" x14ac:dyDescent="0.25">
      <c r="R93" s="51">
        <v>51</v>
      </c>
      <c r="T93" s="53">
        <f t="shared" ca="1" si="30"/>
        <v>-366039.86897609761</v>
      </c>
      <c r="U93" s="54">
        <f t="shared" ca="1" si="27"/>
        <v>-1.8351771612309258</v>
      </c>
      <c r="V93" t="str">
        <f t="shared" si="31"/>
        <v/>
      </c>
      <c r="W93">
        <f t="shared" si="28"/>
        <v>3</v>
      </c>
      <c r="X93">
        <f t="shared" si="29"/>
        <v>19</v>
      </c>
    </row>
    <row r="94" spans="1:24" x14ac:dyDescent="0.25">
      <c r="R94" s="51">
        <v>52</v>
      </c>
      <c r="T94" s="53">
        <f t="shared" ca="1" si="30"/>
        <v>-406754.99385391781</v>
      </c>
      <c r="U94" s="54">
        <f t="shared" ca="1" si="27"/>
        <v>-2.0393064750716534</v>
      </c>
      <c r="V94">
        <f t="shared" si="31"/>
        <v>13</v>
      </c>
      <c r="W94">
        <f t="shared" si="28"/>
        <v>0</v>
      </c>
      <c r="X94">
        <f t="shared" si="29"/>
        <v>20</v>
      </c>
    </row>
    <row r="95" spans="1:24" x14ac:dyDescent="0.25">
      <c r="R95" s="51">
        <v>53</v>
      </c>
      <c r="T95" s="53">
        <f t="shared" ca="1" si="30"/>
        <v>-447470.11873173801</v>
      </c>
      <c r="U95" s="54">
        <f t="shared" ca="1" si="27"/>
        <v>-2.2434357889123815</v>
      </c>
      <c r="V95" t="str">
        <f t="shared" si="31"/>
        <v/>
      </c>
      <c r="W95">
        <f t="shared" si="28"/>
        <v>1</v>
      </c>
      <c r="X95">
        <f t="shared" si="29"/>
        <v>21</v>
      </c>
    </row>
    <row r="96" spans="1:24" x14ac:dyDescent="0.25">
      <c r="R96" s="51">
        <v>54</v>
      </c>
      <c r="T96" s="53">
        <f t="shared" ca="1" si="30"/>
        <v>-488185.24360955821</v>
      </c>
      <c r="U96" s="54">
        <f t="shared" ca="1" si="27"/>
        <v>-2.4475651027531091</v>
      </c>
      <c r="V96" t="str">
        <f t="shared" si="31"/>
        <v/>
      </c>
      <c r="W96">
        <f t="shared" si="28"/>
        <v>2</v>
      </c>
      <c r="X96">
        <f t="shared" si="29"/>
        <v>22</v>
      </c>
    </row>
    <row r="97" spans="5:27" x14ac:dyDescent="0.25">
      <c r="R97" s="51">
        <v>55</v>
      </c>
      <c r="T97" s="53">
        <f t="shared" ca="1" si="30"/>
        <v>-528900.36848737847</v>
      </c>
      <c r="U97" s="54">
        <f t="shared" ca="1" si="27"/>
        <v>-2.6516944165938372</v>
      </c>
      <c r="V97" t="str">
        <f t="shared" si="31"/>
        <v/>
      </c>
      <c r="W97">
        <f t="shared" si="28"/>
        <v>3</v>
      </c>
      <c r="X97">
        <f t="shared" si="29"/>
        <v>23</v>
      </c>
    </row>
    <row r="98" spans="5:27" x14ac:dyDescent="0.25">
      <c r="R98" s="51">
        <v>56</v>
      </c>
      <c r="T98" s="53">
        <f t="shared" ca="1" si="30"/>
        <v>-569615.49336519872</v>
      </c>
      <c r="U98" s="54">
        <f t="shared" ca="1" si="27"/>
        <v>-2.8558237304345653</v>
      </c>
      <c r="V98">
        <f t="shared" si="31"/>
        <v>14</v>
      </c>
      <c r="W98">
        <f t="shared" si="28"/>
        <v>0</v>
      </c>
      <c r="X98">
        <f t="shared" si="29"/>
        <v>24</v>
      </c>
    </row>
    <row r="99" spans="5:27" x14ac:dyDescent="0.25">
      <c r="R99" s="51">
        <v>57</v>
      </c>
      <c r="T99" s="53">
        <f t="shared" ca="1" si="30"/>
        <v>-610330.61824301898</v>
      </c>
      <c r="U99" s="54">
        <f t="shared" ca="1" si="27"/>
        <v>-3.0599530442752938</v>
      </c>
      <c r="V99" t="str">
        <f t="shared" si="31"/>
        <v/>
      </c>
      <c r="W99">
        <f t="shared" si="28"/>
        <v>1</v>
      </c>
      <c r="X99">
        <f t="shared" si="29"/>
        <v>25</v>
      </c>
    </row>
    <row r="100" spans="5:27" x14ac:dyDescent="0.25">
      <c r="R100" s="51">
        <v>58</v>
      </c>
      <c r="T100" s="53">
        <f t="shared" ca="1" si="30"/>
        <v>-651045.74312083924</v>
      </c>
      <c r="U100" s="54">
        <f t="shared" ca="1" si="27"/>
        <v>-3.2640823581160219</v>
      </c>
      <c r="V100" t="str">
        <f t="shared" si="31"/>
        <v/>
      </c>
      <c r="W100">
        <f t="shared" si="28"/>
        <v>2</v>
      </c>
      <c r="X100">
        <f t="shared" si="29"/>
        <v>26</v>
      </c>
    </row>
    <row r="101" spans="5:27" x14ac:dyDescent="0.25">
      <c r="R101" s="51">
        <v>59</v>
      </c>
      <c r="T101" s="53">
        <f t="shared" ca="1" si="30"/>
        <v>-691760.86799865949</v>
      </c>
      <c r="U101" s="54">
        <f t="shared" ca="1" si="27"/>
        <v>-3.46821167195675</v>
      </c>
      <c r="V101" t="str">
        <f t="shared" si="31"/>
        <v/>
      </c>
      <c r="W101">
        <f t="shared" si="28"/>
        <v>3</v>
      </c>
      <c r="X101">
        <f t="shared" si="29"/>
        <v>27</v>
      </c>
    </row>
    <row r="102" spans="5:27" x14ac:dyDescent="0.25">
      <c r="R102" s="51">
        <v>60</v>
      </c>
      <c r="T102" s="53">
        <f t="shared" ca="1" si="30"/>
        <v>-732475.99287647975</v>
      </c>
      <c r="U102" s="54">
        <f t="shared" ca="1" si="27"/>
        <v>-3.672340985797478</v>
      </c>
      <c r="V102">
        <f t="shared" si="31"/>
        <v>15</v>
      </c>
      <c r="W102">
        <f t="shared" si="28"/>
        <v>0</v>
      </c>
      <c r="X102">
        <f t="shared" si="29"/>
        <v>28</v>
      </c>
    </row>
    <row r="103" spans="5:27" x14ac:dyDescent="0.25">
      <c r="R103" s="51">
        <v>61</v>
      </c>
      <c r="T103" s="53">
        <f t="shared" ca="1" si="30"/>
        <v>-773191.11775430001</v>
      </c>
      <c r="U103" s="54">
        <f t="shared" ca="1" si="27"/>
        <v>-3.8764702996382061</v>
      </c>
      <c r="V103" t="str">
        <f t="shared" si="31"/>
        <v/>
      </c>
      <c r="W103">
        <f t="shared" si="28"/>
        <v>1</v>
      </c>
      <c r="X103">
        <f t="shared" si="29"/>
        <v>29</v>
      </c>
    </row>
    <row r="104" spans="5:27" x14ac:dyDescent="0.25">
      <c r="R104" s="51">
        <v>62</v>
      </c>
      <c r="T104" s="53">
        <f t="shared" ca="1" si="30"/>
        <v>-813906.24263212027</v>
      </c>
      <c r="U104" s="54">
        <f t="shared" ca="1" si="27"/>
        <v>-4.0805996134789337</v>
      </c>
      <c r="V104" t="str">
        <f t="shared" si="31"/>
        <v/>
      </c>
      <c r="W104">
        <f t="shared" si="28"/>
        <v>2</v>
      </c>
      <c r="X104">
        <f t="shared" si="29"/>
        <v>30</v>
      </c>
    </row>
    <row r="105" spans="5:27" x14ac:dyDescent="0.25">
      <c r="E105" s="53">
        <v>5555555</v>
      </c>
      <c r="F105" s="39">
        <f>E105*0.3</f>
        <v>1666666.5</v>
      </c>
      <c r="R105" s="51">
        <v>63</v>
      </c>
      <c r="T105" s="53">
        <f t="shared" ca="1" si="30"/>
        <v>-854621.36750994052</v>
      </c>
      <c r="U105" s="54">
        <f t="shared" ca="1" si="27"/>
        <v>-4.2847289273196623</v>
      </c>
      <c r="V105" t="str">
        <f t="shared" si="31"/>
        <v/>
      </c>
      <c r="W105">
        <f t="shared" si="28"/>
        <v>3</v>
      </c>
      <c r="X105">
        <f t="shared" si="29"/>
        <v>31</v>
      </c>
    </row>
    <row r="106" spans="5:27" x14ac:dyDescent="0.25">
      <c r="E106" s="39">
        <f>E105+1234567</f>
        <v>6790122</v>
      </c>
      <c r="F106" s="39">
        <f>E106-F105</f>
        <v>5123455.5</v>
      </c>
      <c r="R106" s="51">
        <v>64</v>
      </c>
      <c r="T106" s="53">
        <f t="shared" ca="1" si="30"/>
        <v>4663.5076122392056</v>
      </c>
      <c r="U106" s="54">
        <f t="shared" ca="1" si="27"/>
        <v>2.3380957613026627E-2</v>
      </c>
      <c r="V106">
        <f t="shared" si="31"/>
        <v>16</v>
      </c>
      <c r="W106">
        <f t="shared" si="28"/>
        <v>0</v>
      </c>
      <c r="X106">
        <f t="shared" si="29"/>
        <v>0</v>
      </c>
      <c r="Y106" s="51" t="str">
        <f ca="1">J58</f>
        <v>ОБЫЧНЫЙ</v>
      </c>
      <c r="Z106" s="51">
        <f ca="1">K58</f>
        <v>93</v>
      </c>
      <c r="AA106" s="51">
        <f ca="1">N58</f>
        <v>67</v>
      </c>
    </row>
    <row r="107" spans="5:27" x14ac:dyDescent="0.25">
      <c r="R107" s="51">
        <v>65</v>
      </c>
      <c r="T107" s="53">
        <f t="shared" ca="1" si="30"/>
        <v>-36051.61726558103</v>
      </c>
      <c r="U107" s="54">
        <f t="shared" ca="1" si="27"/>
        <v>-0.18074835622770136</v>
      </c>
      <c r="V107" t="str">
        <f t="shared" si="31"/>
        <v/>
      </c>
      <c r="W107">
        <f t="shared" si="28"/>
        <v>1</v>
      </c>
      <c r="X107">
        <f t="shared" si="29"/>
        <v>1</v>
      </c>
    </row>
    <row r="108" spans="5:27" x14ac:dyDescent="0.25">
      <c r="R108" s="51">
        <v>66</v>
      </c>
      <c r="T108" s="53">
        <f t="shared" ca="1" si="30"/>
        <v>-76766.742143401265</v>
      </c>
      <c r="U108" s="54">
        <f t="shared" ref="U108:U171" ca="1" si="35">T108/$O$3</f>
        <v>-0.38487767006842938</v>
      </c>
      <c r="V108" t="str">
        <f t="shared" si="31"/>
        <v/>
      </c>
      <c r="W108">
        <f t="shared" ref="W108:W171" si="36">MOD(R108,4)</f>
        <v>2</v>
      </c>
      <c r="X108">
        <f t="shared" ref="X108:X122" si="37">MOD(R108,32)</f>
        <v>2</v>
      </c>
    </row>
    <row r="109" spans="5:27" x14ac:dyDescent="0.25">
      <c r="R109" s="51">
        <v>67</v>
      </c>
      <c r="T109" s="53">
        <f t="shared" ref="T109:T172" ca="1" si="38">IF(AND(T108&gt;0,W109=0),T108*(IF(SUM($R$3,0.01*$M$3)&gt;0.99,0.99,$R$3+0.01*$M$3)),T108)+((($Q$3+$Q$3*$S$3)/4)+(IF(X109=0,$P$3*_xlfn.IFS(Y109="НЕУРОЖАЙ",0.25,Y109="ОБЫЧНЫЙ",1,Y109="РЕКОРД",1.25,Y109="",1),0)))-($O$3/4)</f>
        <v>-117481.86702122151</v>
      </c>
      <c r="U109" s="54">
        <f t="shared" ca="1" si="35"/>
        <v>-0.5890069839091574</v>
      </c>
      <c r="V109" t="str">
        <f t="shared" si="31"/>
        <v/>
      </c>
      <c r="W109">
        <f t="shared" si="36"/>
        <v>3</v>
      </c>
      <c r="X109">
        <f t="shared" si="37"/>
        <v>3</v>
      </c>
    </row>
    <row r="110" spans="5:27" x14ac:dyDescent="0.25">
      <c r="R110" s="51">
        <v>68</v>
      </c>
      <c r="T110" s="53">
        <f t="shared" ca="1" si="38"/>
        <v>-158196.99189904175</v>
      </c>
      <c r="U110" s="54">
        <f t="shared" ca="1" si="35"/>
        <v>-0.79313629774988548</v>
      </c>
      <c r="V110">
        <f t="shared" si="31"/>
        <v>17</v>
      </c>
      <c r="W110">
        <f t="shared" si="36"/>
        <v>0</v>
      </c>
      <c r="X110">
        <f t="shared" si="37"/>
        <v>4</v>
      </c>
    </row>
    <row r="111" spans="5:27" x14ac:dyDescent="0.25">
      <c r="R111" s="51">
        <v>69</v>
      </c>
      <c r="T111" s="53">
        <f t="shared" ca="1" si="38"/>
        <v>-198912.11677686201</v>
      </c>
      <c r="U111" s="54">
        <f t="shared" ca="1" si="35"/>
        <v>-0.99726561159061355</v>
      </c>
      <c r="V111" t="str">
        <f t="shared" ref="V111:V174" si="39">IF(W111=0,V107+1,"")</f>
        <v/>
      </c>
      <c r="W111">
        <f t="shared" si="36"/>
        <v>1</v>
      </c>
      <c r="X111">
        <f t="shared" si="37"/>
        <v>5</v>
      </c>
    </row>
    <row r="112" spans="5:27" x14ac:dyDescent="0.25">
      <c r="R112" s="51">
        <v>70</v>
      </c>
      <c r="T112" s="53">
        <f t="shared" ca="1" si="38"/>
        <v>-239627.24165468226</v>
      </c>
      <c r="U112" s="54">
        <f t="shared" ca="1" si="35"/>
        <v>-1.2013949254313416</v>
      </c>
      <c r="V112" t="str">
        <f t="shared" si="39"/>
        <v/>
      </c>
      <c r="W112">
        <f t="shared" si="36"/>
        <v>2</v>
      </c>
      <c r="X112">
        <f t="shared" si="37"/>
        <v>6</v>
      </c>
    </row>
    <row r="113" spans="18:24" x14ac:dyDescent="0.25">
      <c r="R113" s="51">
        <v>71</v>
      </c>
      <c r="T113" s="53">
        <f t="shared" ca="1" si="38"/>
        <v>-280342.36653250252</v>
      </c>
      <c r="U113" s="54">
        <f t="shared" ca="1" si="35"/>
        <v>-1.4055242392720697</v>
      </c>
      <c r="V113" t="str">
        <f t="shared" si="39"/>
        <v/>
      </c>
      <c r="W113">
        <f t="shared" si="36"/>
        <v>3</v>
      </c>
      <c r="X113">
        <f t="shared" si="37"/>
        <v>7</v>
      </c>
    </row>
    <row r="114" spans="18:24" x14ac:dyDescent="0.25">
      <c r="R114" s="51">
        <v>72</v>
      </c>
      <c r="T114" s="53">
        <f t="shared" ca="1" si="38"/>
        <v>-321057.49141032272</v>
      </c>
      <c r="U114" s="54">
        <f t="shared" ca="1" si="35"/>
        <v>-1.6096535531127976</v>
      </c>
      <c r="V114">
        <f t="shared" si="39"/>
        <v>18</v>
      </c>
      <c r="W114">
        <f t="shared" si="36"/>
        <v>0</v>
      </c>
      <c r="X114">
        <f t="shared" si="37"/>
        <v>8</v>
      </c>
    </row>
    <row r="115" spans="18:24" x14ac:dyDescent="0.25">
      <c r="R115" s="51">
        <v>73</v>
      </c>
      <c r="T115" s="53">
        <f t="shared" ca="1" si="38"/>
        <v>-361772.61628814292</v>
      </c>
      <c r="U115" s="54">
        <f t="shared" ca="1" si="35"/>
        <v>-1.8137828669535254</v>
      </c>
      <c r="V115" t="str">
        <f t="shared" si="39"/>
        <v/>
      </c>
      <c r="W115">
        <f t="shared" si="36"/>
        <v>1</v>
      </c>
      <c r="X115">
        <f t="shared" si="37"/>
        <v>9</v>
      </c>
    </row>
    <row r="116" spans="18:24" x14ac:dyDescent="0.25">
      <c r="R116" s="51">
        <v>74</v>
      </c>
      <c r="T116" s="53">
        <f t="shared" ca="1" si="38"/>
        <v>-402487.74116596312</v>
      </c>
      <c r="U116" s="54">
        <f t="shared" ca="1" si="35"/>
        <v>-2.0179121807942533</v>
      </c>
      <c r="V116" t="str">
        <f t="shared" si="39"/>
        <v/>
      </c>
      <c r="W116">
        <f t="shared" si="36"/>
        <v>2</v>
      </c>
      <c r="X116">
        <f t="shared" si="37"/>
        <v>10</v>
      </c>
    </row>
    <row r="117" spans="18:24" x14ac:dyDescent="0.25">
      <c r="R117" s="51">
        <v>75</v>
      </c>
      <c r="T117" s="53">
        <f t="shared" ca="1" si="38"/>
        <v>-443202.86604378332</v>
      </c>
      <c r="U117" s="54">
        <f t="shared" ca="1" si="35"/>
        <v>-2.2220414946349809</v>
      </c>
      <c r="V117" t="str">
        <f t="shared" si="39"/>
        <v/>
      </c>
      <c r="W117">
        <f t="shared" si="36"/>
        <v>3</v>
      </c>
      <c r="X117">
        <f t="shared" si="37"/>
        <v>11</v>
      </c>
    </row>
    <row r="118" spans="18:24" x14ac:dyDescent="0.25">
      <c r="R118" s="51">
        <v>76</v>
      </c>
      <c r="T118" s="53">
        <f t="shared" ca="1" si="38"/>
        <v>-483917.99092160352</v>
      </c>
      <c r="U118" s="54">
        <f t="shared" ca="1" si="35"/>
        <v>-2.426170808475709</v>
      </c>
      <c r="V118">
        <f t="shared" si="39"/>
        <v>19</v>
      </c>
      <c r="W118">
        <f t="shared" si="36"/>
        <v>0</v>
      </c>
      <c r="X118">
        <f t="shared" si="37"/>
        <v>12</v>
      </c>
    </row>
    <row r="119" spans="18:24" x14ac:dyDescent="0.25">
      <c r="R119" s="51">
        <v>77</v>
      </c>
      <c r="T119" s="53">
        <f t="shared" ca="1" si="38"/>
        <v>-524633.11579942377</v>
      </c>
      <c r="U119" s="54">
        <f t="shared" ca="1" si="35"/>
        <v>-2.6303001223164371</v>
      </c>
      <c r="V119" t="str">
        <f t="shared" si="39"/>
        <v/>
      </c>
      <c r="W119">
        <f t="shared" si="36"/>
        <v>1</v>
      </c>
      <c r="X119">
        <f t="shared" si="37"/>
        <v>13</v>
      </c>
    </row>
    <row r="120" spans="18:24" x14ac:dyDescent="0.25">
      <c r="R120" s="51">
        <v>78</v>
      </c>
      <c r="T120" s="53">
        <f t="shared" ca="1" si="38"/>
        <v>-565348.24067724403</v>
      </c>
      <c r="U120" s="54">
        <f t="shared" ca="1" si="35"/>
        <v>-2.8344294361571651</v>
      </c>
      <c r="V120" t="str">
        <f t="shared" si="39"/>
        <v/>
      </c>
      <c r="W120">
        <f t="shared" si="36"/>
        <v>2</v>
      </c>
      <c r="X120">
        <f t="shared" si="37"/>
        <v>14</v>
      </c>
    </row>
    <row r="121" spans="18:24" x14ac:dyDescent="0.25">
      <c r="R121" s="51">
        <v>79</v>
      </c>
      <c r="T121" s="53">
        <f t="shared" ca="1" si="38"/>
        <v>-606063.36555506429</v>
      </c>
      <c r="U121" s="54">
        <f t="shared" ca="1" si="35"/>
        <v>-3.0385587499978932</v>
      </c>
      <c r="V121" t="str">
        <f t="shared" si="39"/>
        <v/>
      </c>
      <c r="W121">
        <f t="shared" si="36"/>
        <v>3</v>
      </c>
      <c r="X121">
        <f t="shared" si="37"/>
        <v>15</v>
      </c>
    </row>
    <row r="122" spans="18:24" x14ac:dyDescent="0.25">
      <c r="R122" s="51">
        <v>80</v>
      </c>
      <c r="T122" s="53">
        <f t="shared" ca="1" si="38"/>
        <v>-646778.49043288454</v>
      </c>
      <c r="U122" s="54">
        <f t="shared" ca="1" si="35"/>
        <v>-3.2426880638386213</v>
      </c>
      <c r="V122">
        <f t="shared" si="39"/>
        <v>20</v>
      </c>
      <c r="W122">
        <f t="shared" si="36"/>
        <v>0</v>
      </c>
      <c r="X122">
        <f t="shared" si="37"/>
        <v>16</v>
      </c>
    </row>
    <row r="123" spans="18:24" x14ac:dyDescent="0.25">
      <c r="R123" s="51">
        <v>81</v>
      </c>
      <c r="T123" s="53">
        <f t="shared" ca="1" si="38"/>
        <v>-687493.6153107048</v>
      </c>
      <c r="U123" s="54">
        <f t="shared" ca="1" si="35"/>
        <v>-3.4468173776793494</v>
      </c>
      <c r="V123" t="str">
        <f t="shared" si="39"/>
        <v/>
      </c>
      <c r="W123">
        <f t="shared" si="36"/>
        <v>1</v>
      </c>
      <c r="X123">
        <f t="shared" ref="X123:X186" si="40">MOD(R123,32)</f>
        <v>17</v>
      </c>
    </row>
    <row r="124" spans="18:24" x14ac:dyDescent="0.25">
      <c r="R124" s="51">
        <v>82</v>
      </c>
      <c r="T124" s="53">
        <f t="shared" ca="1" si="38"/>
        <v>-728208.74018852506</v>
      </c>
      <c r="U124" s="54">
        <f t="shared" ca="1" si="35"/>
        <v>-3.6509466915200774</v>
      </c>
      <c r="V124" t="str">
        <f t="shared" si="39"/>
        <v/>
      </c>
      <c r="W124">
        <f t="shared" si="36"/>
        <v>2</v>
      </c>
      <c r="X124">
        <f t="shared" si="40"/>
        <v>18</v>
      </c>
    </row>
    <row r="125" spans="18:24" x14ac:dyDescent="0.25">
      <c r="R125" s="51">
        <v>83</v>
      </c>
      <c r="T125" s="53">
        <f t="shared" ca="1" si="38"/>
        <v>-768923.86506634532</v>
      </c>
      <c r="U125" s="54">
        <f t="shared" ca="1" si="35"/>
        <v>-3.8550760053608055</v>
      </c>
      <c r="V125" t="str">
        <f t="shared" si="39"/>
        <v/>
      </c>
      <c r="W125">
        <f t="shared" si="36"/>
        <v>3</v>
      </c>
      <c r="X125">
        <f t="shared" si="40"/>
        <v>19</v>
      </c>
    </row>
    <row r="126" spans="18:24" x14ac:dyDescent="0.25">
      <c r="R126" s="51">
        <v>84</v>
      </c>
      <c r="T126" s="53">
        <f t="shared" ca="1" si="38"/>
        <v>-809638.98994416557</v>
      </c>
      <c r="U126" s="54">
        <f t="shared" ca="1" si="35"/>
        <v>-4.059205319201534</v>
      </c>
      <c r="V126">
        <f t="shared" si="39"/>
        <v>21</v>
      </c>
      <c r="W126">
        <f t="shared" si="36"/>
        <v>0</v>
      </c>
      <c r="X126">
        <f t="shared" si="40"/>
        <v>20</v>
      </c>
    </row>
    <row r="127" spans="18:24" x14ac:dyDescent="0.25">
      <c r="R127" s="51">
        <v>85</v>
      </c>
      <c r="T127" s="53">
        <f t="shared" ca="1" si="38"/>
        <v>-850354.11482198583</v>
      </c>
      <c r="U127" s="54">
        <f t="shared" ca="1" si="35"/>
        <v>-4.2633346330422617</v>
      </c>
      <c r="V127" t="str">
        <f t="shared" si="39"/>
        <v/>
      </c>
      <c r="W127">
        <f t="shared" si="36"/>
        <v>1</v>
      </c>
      <c r="X127">
        <f t="shared" si="40"/>
        <v>21</v>
      </c>
    </row>
    <row r="128" spans="18:24" x14ac:dyDescent="0.25">
      <c r="R128" s="51">
        <v>86</v>
      </c>
      <c r="T128" s="53">
        <f t="shared" ca="1" si="38"/>
        <v>-891069.23969980609</v>
      </c>
      <c r="U128" s="54">
        <f t="shared" ca="1" si="35"/>
        <v>-4.4674639468829902</v>
      </c>
      <c r="V128" t="str">
        <f t="shared" si="39"/>
        <v/>
      </c>
      <c r="W128">
        <f t="shared" si="36"/>
        <v>2</v>
      </c>
      <c r="X128">
        <f t="shared" si="40"/>
        <v>22</v>
      </c>
    </row>
    <row r="129" spans="18:27" x14ac:dyDescent="0.25">
      <c r="R129" s="51">
        <v>87</v>
      </c>
      <c r="T129" s="53">
        <f t="shared" ca="1" si="38"/>
        <v>-931784.36457762634</v>
      </c>
      <c r="U129" s="54">
        <f t="shared" ca="1" si="35"/>
        <v>-4.6715932607237178</v>
      </c>
      <c r="V129" t="str">
        <f t="shared" si="39"/>
        <v/>
      </c>
      <c r="W129">
        <f t="shared" si="36"/>
        <v>3</v>
      </c>
      <c r="X129">
        <f t="shared" si="40"/>
        <v>23</v>
      </c>
    </row>
    <row r="130" spans="18:27" x14ac:dyDescent="0.25">
      <c r="R130" s="51">
        <v>88</v>
      </c>
      <c r="T130" s="53">
        <f t="shared" ca="1" si="38"/>
        <v>-972499.4894554466</v>
      </c>
      <c r="U130" s="54">
        <f t="shared" ca="1" si="35"/>
        <v>-4.8757225745644464</v>
      </c>
      <c r="V130">
        <f t="shared" si="39"/>
        <v>22</v>
      </c>
      <c r="W130">
        <f t="shared" si="36"/>
        <v>0</v>
      </c>
      <c r="X130">
        <f t="shared" si="40"/>
        <v>24</v>
      </c>
    </row>
    <row r="131" spans="18:27" x14ac:dyDescent="0.25">
      <c r="R131" s="51">
        <v>89</v>
      </c>
      <c r="T131" s="53">
        <f t="shared" ca="1" si="38"/>
        <v>-1013214.6143332669</v>
      </c>
      <c r="U131" s="54">
        <f t="shared" ca="1" si="35"/>
        <v>-5.079851888405174</v>
      </c>
      <c r="V131" t="str">
        <f t="shared" si="39"/>
        <v/>
      </c>
      <c r="W131">
        <f t="shared" si="36"/>
        <v>1</v>
      </c>
      <c r="X131">
        <f t="shared" si="40"/>
        <v>25</v>
      </c>
    </row>
    <row r="132" spans="18:27" x14ac:dyDescent="0.25">
      <c r="R132" s="51">
        <v>90</v>
      </c>
      <c r="T132" s="53">
        <f t="shared" ca="1" si="38"/>
        <v>-1053929.7392110871</v>
      </c>
      <c r="U132" s="54">
        <f t="shared" ca="1" si="35"/>
        <v>-5.2839812022459025</v>
      </c>
      <c r="V132" t="str">
        <f t="shared" si="39"/>
        <v/>
      </c>
      <c r="W132">
        <f t="shared" si="36"/>
        <v>2</v>
      </c>
      <c r="X132">
        <f t="shared" si="40"/>
        <v>26</v>
      </c>
    </row>
    <row r="133" spans="18:27" x14ac:dyDescent="0.25">
      <c r="R133" s="51">
        <v>91</v>
      </c>
      <c r="T133" s="53">
        <f t="shared" ca="1" si="38"/>
        <v>-1094644.8640889074</v>
      </c>
      <c r="U133" s="54">
        <f t="shared" ca="1" si="35"/>
        <v>-5.4881105160866301</v>
      </c>
      <c r="V133" t="str">
        <f t="shared" si="39"/>
        <v/>
      </c>
      <c r="W133">
        <f t="shared" si="36"/>
        <v>3</v>
      </c>
      <c r="X133">
        <f t="shared" si="40"/>
        <v>27</v>
      </c>
    </row>
    <row r="134" spans="18:27" x14ac:dyDescent="0.25">
      <c r="R134" s="51">
        <v>92</v>
      </c>
      <c r="T134" s="53">
        <f t="shared" ca="1" si="38"/>
        <v>-1135359.9889667276</v>
      </c>
      <c r="U134" s="54">
        <f t="shared" ca="1" si="35"/>
        <v>-5.6922398299273587</v>
      </c>
      <c r="V134">
        <f t="shared" si="39"/>
        <v>23</v>
      </c>
      <c r="W134">
        <f t="shared" si="36"/>
        <v>0</v>
      </c>
      <c r="X134">
        <f t="shared" si="40"/>
        <v>28</v>
      </c>
    </row>
    <row r="135" spans="18:27" x14ac:dyDescent="0.25">
      <c r="R135" s="51">
        <v>93</v>
      </c>
      <c r="T135" s="53">
        <f t="shared" ca="1" si="38"/>
        <v>-1176075.1138445479</v>
      </c>
      <c r="U135" s="54">
        <f t="shared" ca="1" si="35"/>
        <v>-5.8963691437680863</v>
      </c>
      <c r="V135" t="str">
        <f t="shared" si="39"/>
        <v/>
      </c>
      <c r="W135">
        <f t="shared" si="36"/>
        <v>1</v>
      </c>
      <c r="X135">
        <f t="shared" si="40"/>
        <v>29</v>
      </c>
    </row>
    <row r="136" spans="18:27" x14ac:dyDescent="0.25">
      <c r="R136" s="51">
        <v>94</v>
      </c>
      <c r="T136" s="53">
        <f t="shared" ca="1" si="38"/>
        <v>-1216790.2387223681</v>
      </c>
      <c r="U136" s="54">
        <f t="shared" ca="1" si="35"/>
        <v>-6.1004984576088148</v>
      </c>
      <c r="V136" t="str">
        <f t="shared" si="39"/>
        <v/>
      </c>
      <c r="W136">
        <f t="shared" si="36"/>
        <v>2</v>
      </c>
      <c r="X136">
        <f t="shared" si="40"/>
        <v>30</v>
      </c>
    </row>
    <row r="137" spans="18:27" x14ac:dyDescent="0.25">
      <c r="R137" s="51">
        <v>95</v>
      </c>
      <c r="T137" s="53">
        <f t="shared" ca="1" si="38"/>
        <v>-1257505.3636001884</v>
      </c>
      <c r="U137" s="54">
        <f t="shared" ca="1" si="35"/>
        <v>-6.3046277714495425</v>
      </c>
      <c r="V137" t="str">
        <f t="shared" si="39"/>
        <v/>
      </c>
      <c r="W137">
        <f t="shared" si="36"/>
        <v>3</v>
      </c>
      <c r="X137">
        <f t="shared" si="40"/>
        <v>31</v>
      </c>
    </row>
    <row r="138" spans="18:27" x14ac:dyDescent="0.25">
      <c r="R138" s="51">
        <v>96</v>
      </c>
      <c r="T138" s="53">
        <f t="shared" ca="1" si="38"/>
        <v>-398220.48847800866</v>
      </c>
      <c r="U138" s="54">
        <f t="shared" ca="1" si="35"/>
        <v>-1.996517886516854</v>
      </c>
      <c r="V138">
        <f t="shared" si="39"/>
        <v>24</v>
      </c>
      <c r="W138">
        <f t="shared" si="36"/>
        <v>0</v>
      </c>
      <c r="X138">
        <f t="shared" si="40"/>
        <v>0</v>
      </c>
      <c r="Y138" s="51" t="str">
        <f ca="1">J66</f>
        <v>ОБЫЧНЫЙ</v>
      </c>
      <c r="Z138" s="51">
        <f ca="1">K66</f>
        <v>56</v>
      </c>
      <c r="AA138" s="51">
        <f ca="1">N66</f>
        <v>100</v>
      </c>
    </row>
    <row r="139" spans="18:27" x14ac:dyDescent="0.25">
      <c r="R139" s="51">
        <v>97</v>
      </c>
      <c r="T139" s="53">
        <f t="shared" ca="1" si="38"/>
        <v>-438935.61335582886</v>
      </c>
      <c r="U139" s="54">
        <f t="shared" ca="1" si="35"/>
        <v>-2.2006472003575817</v>
      </c>
      <c r="V139" t="str">
        <f t="shared" si="39"/>
        <v/>
      </c>
      <c r="W139">
        <f t="shared" si="36"/>
        <v>1</v>
      </c>
      <c r="X139">
        <f t="shared" si="40"/>
        <v>1</v>
      </c>
    </row>
    <row r="140" spans="18:27" x14ac:dyDescent="0.25">
      <c r="R140" s="51">
        <v>98</v>
      </c>
      <c r="T140" s="53">
        <f t="shared" ca="1" si="38"/>
        <v>-479650.73823364906</v>
      </c>
      <c r="U140" s="54">
        <f t="shared" ca="1" si="35"/>
        <v>-2.4047765141983097</v>
      </c>
      <c r="V140" t="str">
        <f t="shared" si="39"/>
        <v/>
      </c>
      <c r="W140">
        <f t="shared" si="36"/>
        <v>2</v>
      </c>
      <c r="X140">
        <f t="shared" si="40"/>
        <v>2</v>
      </c>
    </row>
    <row r="141" spans="18:27" x14ac:dyDescent="0.25">
      <c r="R141" s="51">
        <v>99</v>
      </c>
      <c r="T141" s="53">
        <f t="shared" ca="1" si="38"/>
        <v>-520365.86311146925</v>
      </c>
      <c r="U141" s="54">
        <f t="shared" ca="1" si="35"/>
        <v>-2.6089058280390374</v>
      </c>
      <c r="V141" t="str">
        <f t="shared" si="39"/>
        <v/>
      </c>
      <c r="W141">
        <f t="shared" si="36"/>
        <v>3</v>
      </c>
      <c r="X141">
        <f t="shared" si="40"/>
        <v>3</v>
      </c>
    </row>
    <row r="142" spans="18:27" x14ac:dyDescent="0.25">
      <c r="R142" s="51">
        <v>100</v>
      </c>
      <c r="T142" s="53">
        <f t="shared" ca="1" si="38"/>
        <v>-561080.98798928945</v>
      </c>
      <c r="U142" s="54">
        <f t="shared" ca="1" si="35"/>
        <v>-2.813035141879765</v>
      </c>
      <c r="V142">
        <f t="shared" si="39"/>
        <v>25</v>
      </c>
      <c r="W142">
        <f t="shared" si="36"/>
        <v>0</v>
      </c>
      <c r="X142">
        <f t="shared" si="40"/>
        <v>4</v>
      </c>
    </row>
    <row r="143" spans="18:27" x14ac:dyDescent="0.25">
      <c r="R143" s="51">
        <v>101</v>
      </c>
      <c r="T143" s="53">
        <f t="shared" ca="1" si="38"/>
        <v>-601796.11286710971</v>
      </c>
      <c r="U143" s="54">
        <f t="shared" ca="1" si="35"/>
        <v>-3.0171644557204931</v>
      </c>
      <c r="V143" t="str">
        <f t="shared" si="39"/>
        <v/>
      </c>
      <c r="W143">
        <f t="shared" si="36"/>
        <v>1</v>
      </c>
      <c r="X143">
        <f t="shared" si="40"/>
        <v>5</v>
      </c>
    </row>
    <row r="144" spans="18:27" x14ac:dyDescent="0.25">
      <c r="R144" s="51">
        <v>102</v>
      </c>
      <c r="T144" s="53">
        <f t="shared" ca="1" si="38"/>
        <v>-642511.23774492997</v>
      </c>
      <c r="U144" s="54">
        <f t="shared" ca="1" si="35"/>
        <v>-3.2212937695612216</v>
      </c>
      <c r="V144" t="str">
        <f t="shared" si="39"/>
        <v/>
      </c>
      <c r="W144">
        <f t="shared" si="36"/>
        <v>2</v>
      </c>
      <c r="X144">
        <f t="shared" si="40"/>
        <v>6</v>
      </c>
    </row>
    <row r="145" spans="18:24" x14ac:dyDescent="0.25">
      <c r="R145" s="51">
        <v>103</v>
      </c>
      <c r="T145" s="53">
        <f t="shared" ca="1" si="38"/>
        <v>-683226.36262275022</v>
      </c>
      <c r="U145" s="54">
        <f t="shared" ca="1" si="35"/>
        <v>-3.4254230834019497</v>
      </c>
      <c r="V145" t="str">
        <f t="shared" si="39"/>
        <v/>
      </c>
      <c r="W145">
        <f t="shared" si="36"/>
        <v>3</v>
      </c>
      <c r="X145">
        <f t="shared" si="40"/>
        <v>7</v>
      </c>
    </row>
    <row r="146" spans="18:24" x14ac:dyDescent="0.25">
      <c r="R146" s="51">
        <v>104</v>
      </c>
      <c r="T146" s="53">
        <f t="shared" ca="1" si="38"/>
        <v>-723941.48750057048</v>
      </c>
      <c r="U146" s="54">
        <f t="shared" ca="1" si="35"/>
        <v>-3.6295523972426778</v>
      </c>
      <c r="V146">
        <f t="shared" si="39"/>
        <v>26</v>
      </c>
      <c r="W146">
        <f t="shared" si="36"/>
        <v>0</v>
      </c>
      <c r="X146">
        <f t="shared" si="40"/>
        <v>8</v>
      </c>
    </row>
    <row r="147" spans="18:24" x14ac:dyDescent="0.25">
      <c r="R147" s="51">
        <v>105</v>
      </c>
      <c r="T147" s="53">
        <f t="shared" ca="1" si="38"/>
        <v>-764656.61237839074</v>
      </c>
      <c r="U147" s="54">
        <f t="shared" ca="1" si="35"/>
        <v>-3.8336817110834058</v>
      </c>
      <c r="V147" t="str">
        <f t="shared" si="39"/>
        <v/>
      </c>
      <c r="W147">
        <f t="shared" si="36"/>
        <v>1</v>
      </c>
      <c r="X147">
        <f t="shared" si="40"/>
        <v>9</v>
      </c>
    </row>
    <row r="148" spans="18:24" x14ac:dyDescent="0.25">
      <c r="R148" s="51">
        <v>106</v>
      </c>
      <c r="T148" s="53">
        <f t="shared" ca="1" si="38"/>
        <v>-805371.737256211</v>
      </c>
      <c r="U148" s="54">
        <f t="shared" ca="1" si="35"/>
        <v>-4.0378110249241335</v>
      </c>
      <c r="V148" t="str">
        <f t="shared" si="39"/>
        <v/>
      </c>
      <c r="W148">
        <f t="shared" si="36"/>
        <v>2</v>
      </c>
      <c r="X148">
        <f t="shared" si="40"/>
        <v>10</v>
      </c>
    </row>
    <row r="149" spans="18:24" x14ac:dyDescent="0.25">
      <c r="R149" s="51">
        <v>107</v>
      </c>
      <c r="T149" s="53">
        <f t="shared" ca="1" si="38"/>
        <v>-846086.86213403125</v>
      </c>
      <c r="U149" s="54">
        <f t="shared" ca="1" si="35"/>
        <v>-4.241940338764862</v>
      </c>
      <c r="V149" t="str">
        <f t="shared" si="39"/>
        <v/>
      </c>
      <c r="W149">
        <f t="shared" si="36"/>
        <v>3</v>
      </c>
      <c r="X149">
        <f t="shared" si="40"/>
        <v>11</v>
      </c>
    </row>
    <row r="150" spans="18:24" x14ac:dyDescent="0.25">
      <c r="R150" s="51">
        <v>108</v>
      </c>
      <c r="T150" s="53">
        <f t="shared" ca="1" si="38"/>
        <v>-886801.98701185151</v>
      </c>
      <c r="U150" s="54">
        <f t="shared" ca="1" si="35"/>
        <v>-4.4460696526055896</v>
      </c>
      <c r="V150">
        <f t="shared" si="39"/>
        <v>27</v>
      </c>
      <c r="W150">
        <f t="shared" si="36"/>
        <v>0</v>
      </c>
      <c r="X150">
        <f t="shared" si="40"/>
        <v>12</v>
      </c>
    </row>
    <row r="151" spans="18:24" x14ac:dyDescent="0.25">
      <c r="R151" s="51">
        <v>109</v>
      </c>
      <c r="T151" s="53">
        <f t="shared" ca="1" si="38"/>
        <v>-927517.11188967177</v>
      </c>
      <c r="U151" s="54">
        <f t="shared" ca="1" si="35"/>
        <v>-4.6501989664463181</v>
      </c>
      <c r="V151" t="str">
        <f t="shared" si="39"/>
        <v/>
      </c>
      <c r="W151">
        <f t="shared" si="36"/>
        <v>1</v>
      </c>
      <c r="X151">
        <f t="shared" si="40"/>
        <v>13</v>
      </c>
    </row>
    <row r="152" spans="18:24" x14ac:dyDescent="0.25">
      <c r="R152" s="51">
        <v>110</v>
      </c>
      <c r="T152" s="53">
        <f t="shared" ca="1" si="38"/>
        <v>-968232.23676749202</v>
      </c>
      <c r="U152" s="54">
        <f t="shared" ca="1" si="35"/>
        <v>-4.8543282802870467</v>
      </c>
      <c r="V152" t="str">
        <f t="shared" si="39"/>
        <v/>
      </c>
      <c r="W152">
        <f t="shared" si="36"/>
        <v>2</v>
      </c>
      <c r="X152">
        <f t="shared" si="40"/>
        <v>14</v>
      </c>
    </row>
    <row r="153" spans="18:24" x14ac:dyDescent="0.25">
      <c r="R153" s="51">
        <v>111</v>
      </c>
      <c r="T153" s="53">
        <f t="shared" ca="1" si="38"/>
        <v>-1008947.3616453123</v>
      </c>
      <c r="U153" s="54">
        <f t="shared" ca="1" si="35"/>
        <v>-5.0584575941277743</v>
      </c>
      <c r="V153" t="str">
        <f t="shared" si="39"/>
        <v/>
      </c>
      <c r="W153">
        <f t="shared" si="36"/>
        <v>3</v>
      </c>
      <c r="X153">
        <f t="shared" si="40"/>
        <v>15</v>
      </c>
    </row>
    <row r="154" spans="18:24" x14ac:dyDescent="0.25">
      <c r="R154" s="51">
        <v>112</v>
      </c>
      <c r="T154" s="53">
        <f t="shared" ca="1" si="38"/>
        <v>-1049662.4865231325</v>
      </c>
      <c r="U154" s="54">
        <f t="shared" ca="1" si="35"/>
        <v>-5.2625869079685028</v>
      </c>
      <c r="V154">
        <f t="shared" si="39"/>
        <v>28</v>
      </c>
      <c r="W154">
        <f t="shared" si="36"/>
        <v>0</v>
      </c>
      <c r="X154">
        <f t="shared" si="40"/>
        <v>16</v>
      </c>
    </row>
    <row r="155" spans="18:24" x14ac:dyDescent="0.25">
      <c r="R155" s="51">
        <v>113</v>
      </c>
      <c r="T155" s="53">
        <f t="shared" ca="1" si="38"/>
        <v>-1090377.6114009528</v>
      </c>
      <c r="U155" s="54">
        <f t="shared" ca="1" si="35"/>
        <v>-5.4667162218092304</v>
      </c>
      <c r="V155" t="str">
        <f t="shared" si="39"/>
        <v/>
      </c>
      <c r="W155">
        <f t="shared" si="36"/>
        <v>1</v>
      </c>
      <c r="X155">
        <f t="shared" si="40"/>
        <v>17</v>
      </c>
    </row>
    <row r="156" spans="18:24" x14ac:dyDescent="0.25">
      <c r="R156" s="51">
        <v>114</v>
      </c>
      <c r="T156" s="53">
        <f t="shared" ca="1" si="38"/>
        <v>-1131092.7362787731</v>
      </c>
      <c r="U156" s="54">
        <f t="shared" ca="1" si="35"/>
        <v>-5.670845535649959</v>
      </c>
      <c r="V156" t="str">
        <f t="shared" si="39"/>
        <v/>
      </c>
      <c r="W156">
        <f t="shared" si="36"/>
        <v>2</v>
      </c>
      <c r="X156">
        <f t="shared" si="40"/>
        <v>18</v>
      </c>
    </row>
    <row r="157" spans="18:24" x14ac:dyDescent="0.25">
      <c r="R157" s="51">
        <v>115</v>
      </c>
      <c r="T157" s="53">
        <f t="shared" ca="1" si="38"/>
        <v>-1171807.8611565933</v>
      </c>
      <c r="U157" s="54">
        <f t="shared" ca="1" si="35"/>
        <v>-5.8749748494906866</v>
      </c>
      <c r="V157" t="str">
        <f t="shared" si="39"/>
        <v/>
      </c>
      <c r="W157">
        <f t="shared" si="36"/>
        <v>3</v>
      </c>
      <c r="X157">
        <f t="shared" si="40"/>
        <v>19</v>
      </c>
    </row>
    <row r="158" spans="18:24" x14ac:dyDescent="0.25">
      <c r="R158" s="51">
        <v>116</v>
      </c>
      <c r="T158" s="53">
        <f t="shared" ca="1" si="38"/>
        <v>-1212522.9860344136</v>
      </c>
      <c r="U158" s="54">
        <f t="shared" ca="1" si="35"/>
        <v>-6.0791041633314151</v>
      </c>
      <c r="V158">
        <f t="shared" si="39"/>
        <v>29</v>
      </c>
      <c r="W158">
        <f t="shared" si="36"/>
        <v>0</v>
      </c>
      <c r="X158">
        <f t="shared" si="40"/>
        <v>20</v>
      </c>
    </row>
    <row r="159" spans="18:24" x14ac:dyDescent="0.25">
      <c r="R159" s="51">
        <v>117</v>
      </c>
      <c r="T159" s="53">
        <f t="shared" ca="1" si="38"/>
        <v>-1253238.1109122338</v>
      </c>
      <c r="U159" s="54">
        <f t="shared" ca="1" si="35"/>
        <v>-6.2832334771721428</v>
      </c>
      <c r="V159" t="str">
        <f t="shared" si="39"/>
        <v/>
      </c>
      <c r="W159">
        <f t="shared" si="36"/>
        <v>1</v>
      </c>
      <c r="X159">
        <f t="shared" si="40"/>
        <v>21</v>
      </c>
    </row>
    <row r="160" spans="18:24" x14ac:dyDescent="0.25">
      <c r="R160" s="51">
        <v>118</v>
      </c>
      <c r="T160" s="53">
        <f t="shared" ca="1" si="38"/>
        <v>-1293953.2357900541</v>
      </c>
      <c r="U160" s="54">
        <f t="shared" ca="1" si="35"/>
        <v>-6.4873627910128713</v>
      </c>
      <c r="V160" t="str">
        <f t="shared" si="39"/>
        <v/>
      </c>
      <c r="W160">
        <f t="shared" si="36"/>
        <v>2</v>
      </c>
      <c r="X160">
        <f t="shared" si="40"/>
        <v>22</v>
      </c>
    </row>
    <row r="161" spans="18:24" x14ac:dyDescent="0.25">
      <c r="R161" s="51">
        <v>119</v>
      </c>
      <c r="T161" s="53">
        <f t="shared" ca="1" si="38"/>
        <v>-1334668.3606678743</v>
      </c>
      <c r="U161" s="54">
        <f t="shared" ca="1" si="35"/>
        <v>-6.6914921048535989</v>
      </c>
      <c r="V161" t="str">
        <f t="shared" si="39"/>
        <v/>
      </c>
      <c r="W161">
        <f t="shared" si="36"/>
        <v>3</v>
      </c>
      <c r="X161">
        <f t="shared" si="40"/>
        <v>23</v>
      </c>
    </row>
    <row r="162" spans="18:24" x14ac:dyDescent="0.25">
      <c r="R162" s="51">
        <v>120</v>
      </c>
      <c r="T162" s="53">
        <f t="shared" ca="1" si="38"/>
        <v>-1375383.4855456946</v>
      </c>
      <c r="U162" s="54">
        <f t="shared" ca="1" si="35"/>
        <v>-6.8956214186943274</v>
      </c>
      <c r="V162">
        <f t="shared" si="39"/>
        <v>30</v>
      </c>
      <c r="W162">
        <f t="shared" si="36"/>
        <v>0</v>
      </c>
      <c r="X162">
        <f t="shared" si="40"/>
        <v>24</v>
      </c>
    </row>
    <row r="163" spans="18:24" x14ac:dyDescent="0.25">
      <c r="R163" s="51">
        <v>121</v>
      </c>
      <c r="T163" s="53">
        <f t="shared" ca="1" si="38"/>
        <v>-1416098.6104235149</v>
      </c>
      <c r="U163" s="54">
        <f t="shared" ca="1" si="35"/>
        <v>-7.0997507325350551</v>
      </c>
      <c r="V163" t="str">
        <f t="shared" si="39"/>
        <v/>
      </c>
      <c r="W163">
        <f t="shared" si="36"/>
        <v>1</v>
      </c>
      <c r="X163">
        <f t="shared" si="40"/>
        <v>25</v>
      </c>
    </row>
    <row r="164" spans="18:24" x14ac:dyDescent="0.25">
      <c r="R164" s="51">
        <v>122</v>
      </c>
      <c r="T164" s="53">
        <f t="shared" ca="1" si="38"/>
        <v>-1456813.7353013351</v>
      </c>
      <c r="U164" s="54">
        <f t="shared" ca="1" si="35"/>
        <v>-7.3038800463757836</v>
      </c>
      <c r="V164" t="str">
        <f t="shared" si="39"/>
        <v/>
      </c>
      <c r="W164">
        <f t="shared" si="36"/>
        <v>2</v>
      </c>
      <c r="X164">
        <f t="shared" si="40"/>
        <v>26</v>
      </c>
    </row>
    <row r="165" spans="18:24" x14ac:dyDescent="0.25">
      <c r="R165" s="51">
        <v>123</v>
      </c>
      <c r="T165" s="53">
        <f t="shared" ca="1" si="38"/>
        <v>-1497528.8601791554</v>
      </c>
      <c r="U165" s="54">
        <f t="shared" ca="1" si="35"/>
        <v>-7.5080093602165112</v>
      </c>
      <c r="V165" t="str">
        <f t="shared" si="39"/>
        <v/>
      </c>
      <c r="W165">
        <f t="shared" si="36"/>
        <v>3</v>
      </c>
      <c r="X165">
        <f t="shared" si="40"/>
        <v>27</v>
      </c>
    </row>
    <row r="166" spans="18:24" x14ac:dyDescent="0.25">
      <c r="R166" s="51">
        <v>124</v>
      </c>
      <c r="T166" s="53">
        <f t="shared" ca="1" si="38"/>
        <v>-1538243.9850569756</v>
      </c>
      <c r="U166" s="54">
        <f t="shared" ca="1" si="35"/>
        <v>-7.7121386740572397</v>
      </c>
      <c r="V166">
        <f t="shared" si="39"/>
        <v>31</v>
      </c>
      <c r="W166">
        <f t="shared" si="36"/>
        <v>0</v>
      </c>
      <c r="X166">
        <f t="shared" si="40"/>
        <v>28</v>
      </c>
    </row>
    <row r="167" spans="18:24" x14ac:dyDescent="0.25">
      <c r="R167" s="51">
        <v>125</v>
      </c>
      <c r="T167" s="53">
        <f t="shared" ca="1" si="38"/>
        <v>-1578959.1099347959</v>
      </c>
      <c r="U167" s="54">
        <f t="shared" ca="1" si="35"/>
        <v>-7.9162679878979683</v>
      </c>
      <c r="V167" t="str">
        <f t="shared" si="39"/>
        <v/>
      </c>
      <c r="W167">
        <f t="shared" si="36"/>
        <v>1</v>
      </c>
      <c r="X167">
        <f t="shared" si="40"/>
        <v>29</v>
      </c>
    </row>
    <row r="168" spans="18:24" x14ac:dyDescent="0.25">
      <c r="R168" s="51">
        <v>126</v>
      </c>
      <c r="T168" s="53">
        <f t="shared" ca="1" si="38"/>
        <v>-1619674.2348126161</v>
      </c>
      <c r="U168" s="54">
        <f t="shared" ca="1" si="35"/>
        <v>-8.1203973017386968</v>
      </c>
      <c r="V168" t="str">
        <f t="shared" si="39"/>
        <v/>
      </c>
      <c r="W168">
        <f t="shared" si="36"/>
        <v>2</v>
      </c>
      <c r="X168">
        <f t="shared" si="40"/>
        <v>30</v>
      </c>
    </row>
    <row r="169" spans="18:24" x14ac:dyDescent="0.25">
      <c r="R169" s="51">
        <v>127</v>
      </c>
      <c r="T169" s="53">
        <f t="shared" ca="1" si="38"/>
        <v>-1660389.3596904364</v>
      </c>
      <c r="U169" s="54">
        <f t="shared" ca="1" si="35"/>
        <v>-8.3245266155794244</v>
      </c>
      <c r="V169" t="str">
        <f t="shared" si="39"/>
        <v/>
      </c>
      <c r="W169">
        <f t="shared" si="36"/>
        <v>3</v>
      </c>
      <c r="X169">
        <f t="shared" si="40"/>
        <v>31</v>
      </c>
    </row>
    <row r="170" spans="18:24" x14ac:dyDescent="0.25">
      <c r="R170" s="51">
        <v>128</v>
      </c>
      <c r="T170" s="53">
        <f t="shared" ca="1" si="38"/>
        <v>-801104.48456825665</v>
      </c>
      <c r="U170" s="54">
        <f t="shared" ca="1" si="35"/>
        <v>-4.0164167306467355</v>
      </c>
      <c r="V170">
        <f t="shared" si="39"/>
        <v>32</v>
      </c>
      <c r="W170">
        <f t="shared" si="36"/>
        <v>0</v>
      </c>
      <c r="X170">
        <f t="shared" si="40"/>
        <v>0</v>
      </c>
    </row>
    <row r="171" spans="18:24" x14ac:dyDescent="0.25">
      <c r="R171" s="51">
        <v>129</v>
      </c>
      <c r="T171" s="53">
        <f t="shared" ca="1" si="38"/>
        <v>-841819.60944607691</v>
      </c>
      <c r="U171" s="54">
        <f t="shared" ca="1" si="35"/>
        <v>-4.2205460444874632</v>
      </c>
      <c r="V171" t="str">
        <f t="shared" si="39"/>
        <v/>
      </c>
      <c r="W171">
        <f t="shared" si="36"/>
        <v>1</v>
      </c>
      <c r="X171">
        <f t="shared" si="40"/>
        <v>1</v>
      </c>
    </row>
    <row r="172" spans="18:24" x14ac:dyDescent="0.25">
      <c r="R172" s="51">
        <v>130</v>
      </c>
      <c r="T172" s="53">
        <f t="shared" ca="1" si="38"/>
        <v>-882534.73432389717</v>
      </c>
      <c r="U172" s="54">
        <f t="shared" ref="U172:U186" ca="1" si="41">T172/$O$3</f>
        <v>-4.4246753583281917</v>
      </c>
      <c r="V172" t="str">
        <f t="shared" si="39"/>
        <v/>
      </c>
      <c r="W172">
        <f t="shared" ref="W172:W186" si="42">MOD(R172,4)</f>
        <v>2</v>
      </c>
      <c r="X172">
        <f t="shared" si="40"/>
        <v>2</v>
      </c>
    </row>
    <row r="173" spans="18:24" x14ac:dyDescent="0.25">
      <c r="R173" s="51">
        <v>131</v>
      </c>
      <c r="T173" s="53">
        <f t="shared" ref="T173:T186" ca="1" si="43">IF(AND(T172&gt;0,W173=0),T172*(IF(SUM($R$3,0.01*$M$3)&gt;0.99,0.99,$R$3+0.01*$M$3)),T172)+((($Q$3+$Q$3*$S$3)/4)+(IF(X173=0,$P$3*_xlfn.IFS(Y173="НЕУРОЖАЙ",0.25,Y173="ОБЫЧНЫЙ",1,Y173="РЕКОРД",1.25,Y173="",1),0)))-($O$3/4)</f>
        <v>-923249.85920171742</v>
      </c>
      <c r="U173" s="54">
        <f t="shared" ca="1" si="41"/>
        <v>-4.6288046721689193</v>
      </c>
      <c r="V173" t="str">
        <f t="shared" si="39"/>
        <v/>
      </c>
      <c r="W173">
        <f t="shared" si="42"/>
        <v>3</v>
      </c>
      <c r="X173">
        <f t="shared" si="40"/>
        <v>3</v>
      </c>
    </row>
    <row r="174" spans="18:24" x14ac:dyDescent="0.25">
      <c r="R174" s="51">
        <v>132</v>
      </c>
      <c r="T174" s="53">
        <f t="shared" ca="1" si="43"/>
        <v>-963964.98407953768</v>
      </c>
      <c r="U174" s="54">
        <f t="shared" ca="1" si="41"/>
        <v>-4.8329339860096479</v>
      </c>
      <c r="V174">
        <f t="shared" si="39"/>
        <v>33</v>
      </c>
      <c r="W174">
        <f t="shared" si="42"/>
        <v>0</v>
      </c>
      <c r="X174">
        <f t="shared" si="40"/>
        <v>4</v>
      </c>
    </row>
    <row r="175" spans="18:24" x14ac:dyDescent="0.25">
      <c r="R175" s="51">
        <v>133</v>
      </c>
      <c r="T175" s="53">
        <f t="shared" ca="1" si="43"/>
        <v>-1004680.1089573579</v>
      </c>
      <c r="U175" s="54">
        <f t="shared" ca="1" si="41"/>
        <v>-5.0370632998503755</v>
      </c>
      <c r="V175" t="str">
        <f t="shared" ref="V175:V186" si="44">IF(W175=0,V171+1,"")</f>
        <v/>
      </c>
      <c r="W175">
        <f t="shared" si="42"/>
        <v>1</v>
      </c>
      <c r="X175">
        <f t="shared" si="40"/>
        <v>5</v>
      </c>
    </row>
    <row r="176" spans="18:24" x14ac:dyDescent="0.25">
      <c r="R176" s="51">
        <v>134</v>
      </c>
      <c r="T176" s="53">
        <f t="shared" ca="1" si="43"/>
        <v>-1045395.2338351782</v>
      </c>
      <c r="U176" s="54">
        <f t="shared" ca="1" si="41"/>
        <v>-5.241192613691104</v>
      </c>
      <c r="V176" t="str">
        <f t="shared" si="44"/>
        <v/>
      </c>
      <c r="W176">
        <f t="shared" si="42"/>
        <v>2</v>
      </c>
      <c r="X176">
        <f t="shared" si="40"/>
        <v>6</v>
      </c>
    </row>
    <row r="177" spans="18:24" x14ac:dyDescent="0.25">
      <c r="R177" s="51">
        <v>135</v>
      </c>
      <c r="T177" s="53">
        <f t="shared" ca="1" si="43"/>
        <v>-1086110.3587129985</v>
      </c>
      <c r="U177" s="54">
        <f t="shared" ca="1" si="41"/>
        <v>-5.4453219275318316</v>
      </c>
      <c r="V177" t="str">
        <f t="shared" si="44"/>
        <v/>
      </c>
      <c r="W177">
        <f t="shared" si="42"/>
        <v>3</v>
      </c>
      <c r="X177">
        <f t="shared" si="40"/>
        <v>7</v>
      </c>
    </row>
    <row r="178" spans="18:24" x14ac:dyDescent="0.25">
      <c r="R178" s="51">
        <v>136</v>
      </c>
      <c r="T178" s="53">
        <f t="shared" ca="1" si="43"/>
        <v>-1126825.4835908187</v>
      </c>
      <c r="U178" s="54">
        <f t="shared" ca="1" si="41"/>
        <v>-5.6494512413725602</v>
      </c>
      <c r="V178">
        <f t="shared" si="44"/>
        <v>34</v>
      </c>
      <c r="W178">
        <f t="shared" si="42"/>
        <v>0</v>
      </c>
      <c r="X178">
        <f t="shared" si="40"/>
        <v>8</v>
      </c>
    </row>
    <row r="179" spans="18:24" x14ac:dyDescent="0.25">
      <c r="R179" s="51">
        <v>137</v>
      </c>
      <c r="T179" s="53">
        <f t="shared" ca="1" si="43"/>
        <v>-1167540.608468639</v>
      </c>
      <c r="U179" s="54">
        <f t="shared" ca="1" si="41"/>
        <v>-5.8535805552132878</v>
      </c>
      <c r="V179" t="str">
        <f t="shared" si="44"/>
        <v/>
      </c>
      <c r="W179">
        <f t="shared" si="42"/>
        <v>1</v>
      </c>
      <c r="X179">
        <f t="shared" si="40"/>
        <v>9</v>
      </c>
    </row>
    <row r="180" spans="18:24" x14ac:dyDescent="0.25">
      <c r="R180" s="51">
        <v>138</v>
      </c>
      <c r="T180" s="53">
        <f t="shared" ca="1" si="43"/>
        <v>-1208255.7333464592</v>
      </c>
      <c r="U180" s="54">
        <f t="shared" ca="1" si="41"/>
        <v>-6.0577098690540163</v>
      </c>
      <c r="V180" t="str">
        <f t="shared" si="44"/>
        <v/>
      </c>
      <c r="W180">
        <f t="shared" si="42"/>
        <v>2</v>
      </c>
      <c r="X180">
        <f t="shared" si="40"/>
        <v>10</v>
      </c>
    </row>
    <row r="181" spans="18:24" x14ac:dyDescent="0.25">
      <c r="R181" s="51">
        <v>139</v>
      </c>
      <c r="T181" s="53">
        <f t="shared" ca="1" si="43"/>
        <v>-1248970.8582242795</v>
      </c>
      <c r="U181" s="54">
        <f t="shared" ca="1" si="41"/>
        <v>-6.2618391828947439</v>
      </c>
      <c r="V181" t="str">
        <f t="shared" si="44"/>
        <v/>
      </c>
      <c r="W181">
        <f t="shared" si="42"/>
        <v>3</v>
      </c>
      <c r="X181">
        <f t="shared" si="40"/>
        <v>11</v>
      </c>
    </row>
    <row r="182" spans="18:24" x14ac:dyDescent="0.25">
      <c r="R182" s="51">
        <v>140</v>
      </c>
      <c r="T182" s="53">
        <f t="shared" ca="1" si="43"/>
        <v>-1289685.9831020997</v>
      </c>
      <c r="U182" s="54">
        <f t="shared" ca="1" si="41"/>
        <v>-6.4659684967354725</v>
      </c>
      <c r="V182">
        <f t="shared" si="44"/>
        <v>35</v>
      </c>
      <c r="W182">
        <f t="shared" si="42"/>
        <v>0</v>
      </c>
      <c r="X182">
        <f t="shared" si="40"/>
        <v>12</v>
      </c>
    </row>
    <row r="183" spans="18:24" x14ac:dyDescent="0.25">
      <c r="R183" s="51">
        <v>141</v>
      </c>
      <c r="T183" s="53">
        <f t="shared" ca="1" si="43"/>
        <v>-1330401.10797992</v>
      </c>
      <c r="U183" s="54">
        <f t="shared" ca="1" si="41"/>
        <v>-6.6700978105762001</v>
      </c>
      <c r="V183" t="str">
        <f t="shared" si="44"/>
        <v/>
      </c>
      <c r="W183">
        <f t="shared" si="42"/>
        <v>1</v>
      </c>
      <c r="X183">
        <f t="shared" si="40"/>
        <v>13</v>
      </c>
    </row>
    <row r="184" spans="18:24" x14ac:dyDescent="0.25">
      <c r="R184" s="51">
        <v>142</v>
      </c>
      <c r="T184" s="53">
        <f t="shared" ca="1" si="43"/>
        <v>-1371116.2328577403</v>
      </c>
      <c r="U184" s="54">
        <f t="shared" ca="1" si="41"/>
        <v>-6.8742271244169286</v>
      </c>
      <c r="V184" t="str">
        <f t="shared" si="44"/>
        <v/>
      </c>
      <c r="W184">
        <f t="shared" si="42"/>
        <v>2</v>
      </c>
      <c r="X184">
        <f t="shared" si="40"/>
        <v>14</v>
      </c>
    </row>
    <row r="185" spans="18:24" x14ac:dyDescent="0.25">
      <c r="R185" s="51">
        <v>143</v>
      </c>
      <c r="T185" s="53">
        <f t="shared" ca="1" si="43"/>
        <v>-1411831.3577355605</v>
      </c>
      <c r="U185" s="54">
        <f t="shared" ca="1" si="41"/>
        <v>-7.0783564382576571</v>
      </c>
      <c r="V185" t="str">
        <f t="shared" si="44"/>
        <v/>
      </c>
      <c r="W185">
        <f t="shared" si="42"/>
        <v>3</v>
      </c>
      <c r="X185">
        <f t="shared" si="40"/>
        <v>15</v>
      </c>
    </row>
    <row r="186" spans="18:24" x14ac:dyDescent="0.25">
      <c r="R186" s="51">
        <v>144</v>
      </c>
      <c r="T186" s="53">
        <f t="shared" ca="1" si="43"/>
        <v>-1452546.4826133808</v>
      </c>
      <c r="U186" s="54">
        <f t="shared" ca="1" si="41"/>
        <v>-7.2824857520983848</v>
      </c>
      <c r="V186">
        <f t="shared" si="44"/>
        <v>36</v>
      </c>
      <c r="W186">
        <f t="shared" si="42"/>
        <v>0</v>
      </c>
      <c r="X186">
        <f t="shared" si="40"/>
        <v>16</v>
      </c>
    </row>
  </sheetData>
  <mergeCells count="6">
    <mergeCell ref="F1:I1"/>
    <mergeCell ref="E1:E2"/>
    <mergeCell ref="B1:B2"/>
    <mergeCell ref="A1:A2"/>
    <mergeCell ref="D1:D2"/>
    <mergeCell ref="C1:C2"/>
  </mergeCells>
  <conditionalFormatting sqref="G43:G90">
    <cfRule type="cellIs" dxfId="18" priority="5" operator="greaterThan">
      <formula>0</formula>
    </cfRule>
    <cfRule type="cellIs" dxfId="17" priority="6" operator="lessThan">
      <formula>0</formula>
    </cfRule>
  </conditionalFormatting>
  <conditionalFormatting sqref="T43:T186">
    <cfRule type="cellIs" dxfId="16" priority="1" operator="greaterThan">
      <formula>0</formula>
    </cfRule>
    <cfRule type="cellIs" dxfId="15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453FA9D-DC0F-497B-B64F-0195ADDED87D}">
          <x14:formula1>
            <xm:f>Список!$A$1:$A$10</xm:f>
          </x14:formula1>
          <xm:sqref>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EA19-B490-438E-9BCC-A522DD820C42}">
  <sheetPr codeName="Лист3"/>
  <dimension ref="A1:AB57"/>
  <sheetViews>
    <sheetView zoomScale="115" zoomScaleNormal="115" workbookViewId="0">
      <pane xSplit="1" ySplit="2" topLeftCell="B7" activePane="bottomRight" state="frozen"/>
      <selection pane="topRight" activeCell="B1" sqref="B1"/>
      <selection pane="bottomLeft" activeCell="A3" sqref="A3"/>
      <selection pane="bottomRight" activeCell="A30" sqref="A30:A37"/>
    </sheetView>
  </sheetViews>
  <sheetFormatPr defaultRowHeight="15" x14ac:dyDescent="0.25"/>
  <cols>
    <col min="1" max="1" width="14" customWidth="1"/>
    <col min="2" max="3" width="7.85546875" customWidth="1"/>
    <col min="4" max="4" width="7.5703125" customWidth="1"/>
    <col min="5" max="5" width="7" customWidth="1"/>
    <col min="6" max="6" width="10.42578125" customWidth="1"/>
    <col min="7" max="7" width="8.28515625" customWidth="1"/>
    <col min="8" max="8" width="7" bestFit="1" customWidth="1"/>
    <col min="9" max="9" width="7.5703125" bestFit="1" customWidth="1"/>
    <col min="10" max="10" width="9.28515625" customWidth="1"/>
    <col min="11" max="11" width="7.5703125" bestFit="1" customWidth="1"/>
    <col min="12" max="12" width="10.5703125" customWidth="1"/>
    <col min="13" max="13" width="9.140625" bestFit="1" customWidth="1"/>
    <col min="14" max="14" width="5.28515625" bestFit="1" customWidth="1"/>
    <col min="15" max="15" width="6.140625" bestFit="1" customWidth="1"/>
    <col min="16" max="16" width="6.85546875" customWidth="1"/>
    <col min="17" max="17" width="6.5703125" bestFit="1" customWidth="1"/>
    <col min="18" max="18" width="7.7109375" bestFit="1" customWidth="1"/>
    <col min="19" max="19" width="9.7109375" customWidth="1"/>
    <col min="20" max="20" width="7.5703125" customWidth="1"/>
    <col min="21" max="21" width="9.28515625" customWidth="1"/>
    <col min="22" max="22" width="10.28515625" customWidth="1"/>
    <col min="23" max="24" width="14.5703125" bestFit="1" customWidth="1"/>
    <col min="25" max="25" width="14.5703125" customWidth="1"/>
    <col min="26" max="26" width="11.85546875" customWidth="1"/>
    <col min="27" max="27" width="7.140625" customWidth="1"/>
    <col min="28" max="28" width="7.42578125" bestFit="1" customWidth="1"/>
  </cols>
  <sheetData>
    <row r="1" spans="1:28" ht="15.75" customHeight="1" thickBot="1" x14ac:dyDescent="0.3">
      <c r="A1" s="357" t="s">
        <v>9</v>
      </c>
      <c r="B1" s="352" t="s">
        <v>63</v>
      </c>
      <c r="C1" s="353"/>
      <c r="D1" s="353" t="s">
        <v>60</v>
      </c>
      <c r="E1" s="354" t="s">
        <v>61</v>
      </c>
      <c r="F1" s="350" t="s">
        <v>62</v>
      </c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1"/>
      <c r="W1" s="352" t="s">
        <v>89</v>
      </c>
      <c r="X1" s="353"/>
      <c r="Y1" s="353"/>
      <c r="Z1" s="354"/>
    </row>
    <row r="2" spans="1:28" ht="45.75" thickBot="1" x14ac:dyDescent="0.3">
      <c r="A2" s="358"/>
      <c r="B2" s="67" t="s">
        <v>240</v>
      </c>
      <c r="C2" s="67" t="s">
        <v>239</v>
      </c>
      <c r="D2" s="66" t="s">
        <v>60</v>
      </c>
      <c r="E2" s="93" t="s">
        <v>61</v>
      </c>
      <c r="F2" s="46" t="s">
        <v>64</v>
      </c>
      <c r="G2" s="46" t="s">
        <v>65</v>
      </c>
      <c r="H2" s="46" t="s">
        <v>66</v>
      </c>
      <c r="I2" s="46" t="s">
        <v>26</v>
      </c>
      <c r="J2" s="46" t="s">
        <v>69</v>
      </c>
      <c r="K2" s="107" t="s">
        <v>70</v>
      </c>
      <c r="L2" s="46" t="s">
        <v>71</v>
      </c>
      <c r="M2" s="107" t="s">
        <v>72</v>
      </c>
      <c r="N2" s="46" t="s">
        <v>73</v>
      </c>
      <c r="O2" s="46" t="s">
        <v>74</v>
      </c>
      <c r="P2" s="46" t="s">
        <v>75</v>
      </c>
      <c r="Q2" s="46" t="s">
        <v>76</v>
      </c>
      <c r="R2" s="46" t="s">
        <v>77</v>
      </c>
      <c r="S2" s="46" t="s">
        <v>78</v>
      </c>
      <c r="T2" s="107" t="s">
        <v>79</v>
      </c>
      <c r="U2" s="46" t="s">
        <v>45</v>
      </c>
      <c r="V2" s="46" t="s">
        <v>87</v>
      </c>
      <c r="W2" s="46" t="s">
        <v>82</v>
      </c>
      <c r="X2" s="46" t="s">
        <v>81</v>
      </c>
      <c r="Y2" s="56" t="s">
        <v>80</v>
      </c>
      <c r="Z2" s="56" t="s">
        <v>91</v>
      </c>
      <c r="AB2" s="117" t="s">
        <v>98</v>
      </c>
    </row>
    <row r="3" spans="1:28" ht="15.75" customHeight="1" x14ac:dyDescent="0.25">
      <c r="A3" s="82" t="s">
        <v>5</v>
      </c>
      <c r="B3" s="86">
        <v>1</v>
      </c>
      <c r="C3" s="86"/>
      <c r="D3" s="87"/>
      <c r="E3" s="88"/>
      <c r="F3" s="104">
        <f>База!S4</f>
        <v>7</v>
      </c>
      <c r="G3" s="108">
        <f>База!T4</f>
        <v>7</v>
      </c>
      <c r="H3" s="88">
        <f>База!U4</f>
        <v>0</v>
      </c>
      <c r="I3" s="88">
        <f>База!W4</f>
        <v>1</v>
      </c>
      <c r="J3" s="108">
        <v>8</v>
      </c>
      <c r="K3" s="108">
        <v>3</v>
      </c>
      <c r="L3" s="108">
        <v>9</v>
      </c>
      <c r="M3" s="108"/>
      <c r="N3" s="108"/>
      <c r="O3" s="108"/>
      <c r="P3" s="108"/>
      <c r="Q3" s="108"/>
      <c r="R3" s="108"/>
      <c r="S3" s="108"/>
      <c r="T3" s="108">
        <v>18</v>
      </c>
      <c r="U3" s="105">
        <f>Провиант!B3</f>
        <v>3</v>
      </c>
      <c r="V3" s="105">
        <f>Провиант!C3</f>
        <v>3</v>
      </c>
      <c r="W3" s="106">
        <f>IF($AB$2=$AB$12,SUMPRODUCT(F3:V3,$F$12:$V$12),SUMPRODUCT(F3:V3,$F$13:$V$13))</f>
        <v>103.05</v>
      </c>
      <c r="X3" s="106">
        <f t="shared" ref="X3:X11" si="0">IF($AB$2=$AB$12,SUMPRODUCT(B3:E3,$B$12:$E$12),SUMPRODUCT(B3:E3,$B$14:$E$14))</f>
        <v>60</v>
      </c>
      <c r="Y3" s="108">
        <f>X3-W3</f>
        <v>-43.05</v>
      </c>
      <c r="Z3" s="112">
        <f>X3/W3</f>
        <v>0.58224163027656484</v>
      </c>
    </row>
    <row r="4" spans="1:28" x14ac:dyDescent="0.25">
      <c r="A4" s="83" t="s">
        <v>0</v>
      </c>
      <c r="B4" s="8">
        <v>3</v>
      </c>
      <c r="C4" s="8"/>
      <c r="D4" s="1"/>
      <c r="E4" s="89"/>
      <c r="F4" s="75">
        <f>База!S5</f>
        <v>10</v>
      </c>
      <c r="G4" s="74">
        <f>База!T5</f>
        <v>13</v>
      </c>
      <c r="H4" s="89">
        <f>База!U5</f>
        <v>5</v>
      </c>
      <c r="I4" s="89">
        <f>База!W5</f>
        <v>4</v>
      </c>
      <c r="J4" s="74">
        <v>15</v>
      </c>
      <c r="K4" s="74">
        <v>10</v>
      </c>
      <c r="L4" s="74">
        <v>21</v>
      </c>
      <c r="M4" s="74">
        <v>5</v>
      </c>
      <c r="N4" s="74"/>
      <c r="O4" s="74"/>
      <c r="P4" s="74"/>
      <c r="Q4" s="74"/>
      <c r="R4" s="74"/>
      <c r="S4" s="74"/>
      <c r="T4" s="74">
        <f>16+11</f>
        <v>27</v>
      </c>
      <c r="U4" s="109">
        <f>Провиант!B4</f>
        <v>5</v>
      </c>
      <c r="V4" s="109">
        <f>Провиант!C4</f>
        <v>10</v>
      </c>
      <c r="W4" s="109">
        <f>IF($AB$2=$AB$12,SUMPRODUCT(F4:V4,$F$12:$V$12),SUMPRODUCT(F4:V4,$F$13:$V$13))</f>
        <v>233.95</v>
      </c>
      <c r="X4" s="109">
        <f t="shared" si="0"/>
        <v>180</v>
      </c>
      <c r="Y4" s="74">
        <f t="shared" ref="Y4:Y11" si="1">X4-W4</f>
        <v>-53.949999999999989</v>
      </c>
      <c r="Z4" s="113">
        <f t="shared" ref="Z4:Z11" si="2">X4/W4</f>
        <v>0.76939516990810009</v>
      </c>
    </row>
    <row r="5" spans="1:28" x14ac:dyDescent="0.25">
      <c r="A5" s="84" t="s">
        <v>4</v>
      </c>
      <c r="B5" s="6">
        <v>3</v>
      </c>
      <c r="C5" s="6"/>
      <c r="D5" s="2">
        <v>1</v>
      </c>
      <c r="E5" s="90"/>
      <c r="F5" s="77">
        <f>База!S6</f>
        <v>15</v>
      </c>
      <c r="G5" s="73">
        <f>База!T6</f>
        <v>7</v>
      </c>
      <c r="H5" s="90">
        <f>База!U6</f>
        <v>12</v>
      </c>
      <c r="I5" s="90">
        <f>База!W6</f>
        <v>5</v>
      </c>
      <c r="J5" s="73">
        <v>16</v>
      </c>
      <c r="K5" s="73">
        <v>7</v>
      </c>
      <c r="L5" s="73">
        <v>22</v>
      </c>
      <c r="M5" s="73">
        <v>7</v>
      </c>
      <c r="N5" s="73"/>
      <c r="O5" s="73"/>
      <c r="P5" s="73"/>
      <c r="Q5" s="73"/>
      <c r="R5" s="73"/>
      <c r="S5" s="73"/>
      <c r="T5" s="73">
        <f>0+44</f>
        <v>44</v>
      </c>
      <c r="U5" s="106">
        <f>Провиант!B5</f>
        <v>8</v>
      </c>
      <c r="V5" s="106">
        <f>Провиант!C5</f>
        <v>8</v>
      </c>
      <c r="W5" s="106">
        <f>IF($AB$2=$AB$12,SUMPRODUCT(F5:V5,$F$12:$V$12),SUMPRODUCT(F5:V5,$F$13:$V$13))</f>
        <v>273.39999999999998</v>
      </c>
      <c r="X5" s="106">
        <f t="shared" si="0"/>
        <v>330</v>
      </c>
      <c r="Y5" s="73">
        <f t="shared" si="1"/>
        <v>56.600000000000023</v>
      </c>
      <c r="Z5" s="114">
        <f t="shared" si="2"/>
        <v>1.2070226773957573</v>
      </c>
    </row>
    <row r="6" spans="1:28" x14ac:dyDescent="0.25">
      <c r="A6" s="83" t="s">
        <v>1</v>
      </c>
      <c r="B6" s="8">
        <v>3</v>
      </c>
      <c r="C6" s="8"/>
      <c r="D6" s="1"/>
      <c r="E6" s="89"/>
      <c r="F6" s="75">
        <f>База!S7</f>
        <v>12</v>
      </c>
      <c r="G6" s="74">
        <f>База!T7</f>
        <v>9</v>
      </c>
      <c r="H6" s="89">
        <f>База!U7</f>
        <v>3</v>
      </c>
      <c r="I6" s="89">
        <f>База!W7</f>
        <v>2</v>
      </c>
      <c r="J6" s="74">
        <v>17</v>
      </c>
      <c r="K6" s="74">
        <v>5</v>
      </c>
      <c r="L6" s="74">
        <v>12</v>
      </c>
      <c r="M6" s="74">
        <v>2</v>
      </c>
      <c r="N6" s="74"/>
      <c r="O6" s="74"/>
      <c r="P6" s="74"/>
      <c r="Q6" s="74"/>
      <c r="R6" s="74"/>
      <c r="S6" s="74"/>
      <c r="T6" s="74">
        <f>12+18</f>
        <v>30</v>
      </c>
      <c r="U6" s="109">
        <f>Провиант!B6</f>
        <v>5</v>
      </c>
      <c r="V6" s="109">
        <f>Провиант!C6</f>
        <v>20</v>
      </c>
      <c r="W6" s="109">
        <f>IF($AB$2=$AB$12,SUMPRODUCT(F6:V6,$F$12:$V$12),SUMPRODUCT(F6:V6,$F$13:$V$13))</f>
        <v>190.25</v>
      </c>
      <c r="X6" s="109">
        <f t="shared" si="0"/>
        <v>180</v>
      </c>
      <c r="Y6" s="74">
        <f t="shared" si="1"/>
        <v>-10.25</v>
      </c>
      <c r="Z6" s="113">
        <f t="shared" si="2"/>
        <v>0.94612352168199743</v>
      </c>
    </row>
    <row r="7" spans="1:28" ht="30" x14ac:dyDescent="0.25">
      <c r="A7" s="84" t="s">
        <v>7</v>
      </c>
      <c r="B7" s="6">
        <v>4</v>
      </c>
      <c r="C7" s="6"/>
      <c r="D7" s="2">
        <v>1</v>
      </c>
      <c r="E7" s="90"/>
      <c r="F7" s="77">
        <f>База!S8</f>
        <v>23</v>
      </c>
      <c r="G7" s="73">
        <f>База!T8</f>
        <v>12</v>
      </c>
      <c r="H7" s="90">
        <f>База!U8</f>
        <v>9</v>
      </c>
      <c r="I7" s="90">
        <f>База!W8</f>
        <v>5</v>
      </c>
      <c r="J7" s="73">
        <v>29</v>
      </c>
      <c r="K7" s="73">
        <v>7</v>
      </c>
      <c r="L7" s="73">
        <v>29</v>
      </c>
      <c r="M7" s="73">
        <v>7</v>
      </c>
      <c r="N7" s="73"/>
      <c r="O7" s="73"/>
      <c r="P7" s="73"/>
      <c r="Q7" s="73"/>
      <c r="R7" s="73"/>
      <c r="S7" s="73"/>
      <c r="T7" s="73"/>
      <c r="U7" s="106">
        <f>Провиант!B7</f>
        <v>10</v>
      </c>
      <c r="V7" s="106">
        <f>Провиант!C7</f>
        <v>15</v>
      </c>
      <c r="W7" s="106">
        <f>IF($AB$2=$AB$12,SUMPRODUCT(F7:V7,$F$12:$V$12),SUMPRODUCT(F7:V7,$F$14:$V$14))</f>
        <v>338.5</v>
      </c>
      <c r="X7" s="106">
        <f t="shared" si="0"/>
        <v>390</v>
      </c>
      <c r="Y7" s="73">
        <f t="shared" si="1"/>
        <v>51.5</v>
      </c>
      <c r="Z7" s="114">
        <f t="shared" si="2"/>
        <v>1.1521418020679468</v>
      </c>
    </row>
    <row r="8" spans="1:28" x14ac:dyDescent="0.25">
      <c r="A8" s="83" t="s">
        <v>2</v>
      </c>
      <c r="B8" s="8">
        <v>6</v>
      </c>
      <c r="C8" s="8"/>
      <c r="D8" s="1"/>
      <c r="E8" s="89"/>
      <c r="F8" s="75">
        <f>База!S9</f>
        <v>20</v>
      </c>
      <c r="G8" s="74">
        <f>База!T9</f>
        <v>14</v>
      </c>
      <c r="H8" s="89">
        <f>База!U9</f>
        <v>0</v>
      </c>
      <c r="I8" s="89">
        <f>База!W9</f>
        <v>6</v>
      </c>
      <c r="J8" s="74">
        <v>26</v>
      </c>
      <c r="K8" s="74">
        <v>6</v>
      </c>
      <c r="L8" s="74">
        <v>15</v>
      </c>
      <c r="M8" s="74">
        <v>3</v>
      </c>
      <c r="N8" s="74"/>
      <c r="O8" s="74"/>
      <c r="P8" s="74"/>
      <c r="Q8" s="74"/>
      <c r="R8" s="74"/>
      <c r="S8" s="74"/>
      <c r="T8" s="74"/>
      <c r="U8" s="109">
        <f>Провиант!B8</f>
        <v>8</v>
      </c>
      <c r="V8" s="109">
        <f>Провиант!C8</f>
        <v>23</v>
      </c>
      <c r="W8" s="109">
        <f>IF($AB$2=$AB$12,SUMPRODUCT(F8:V8,$F$12:$V$12),SUMPRODUCT(F8:V8,$F$14:$V$14))</f>
        <v>265.5</v>
      </c>
      <c r="X8" s="109">
        <f t="shared" si="0"/>
        <v>360</v>
      </c>
      <c r="Y8" s="74">
        <f t="shared" si="1"/>
        <v>94.5</v>
      </c>
      <c r="Z8" s="113">
        <f t="shared" si="2"/>
        <v>1.3559322033898304</v>
      </c>
    </row>
    <row r="9" spans="1:28" x14ac:dyDescent="0.25">
      <c r="A9" s="84" t="s">
        <v>6</v>
      </c>
      <c r="B9" s="6">
        <v>2</v>
      </c>
      <c r="C9" s="6"/>
      <c r="D9" s="2"/>
      <c r="E9" s="90"/>
      <c r="F9" s="77">
        <f>База!S10</f>
        <v>6</v>
      </c>
      <c r="G9" s="73">
        <f>База!T10</f>
        <v>6</v>
      </c>
      <c r="H9" s="90">
        <f>База!U10</f>
        <v>0</v>
      </c>
      <c r="I9" s="90">
        <f>База!W10</f>
        <v>1</v>
      </c>
      <c r="J9" s="73">
        <v>6</v>
      </c>
      <c r="K9" s="73">
        <v>2</v>
      </c>
      <c r="L9" s="73">
        <v>10</v>
      </c>
      <c r="M9" s="73"/>
      <c r="N9" s="73"/>
      <c r="O9" s="73"/>
      <c r="P9" s="73"/>
      <c r="Q9" s="73"/>
      <c r="R9" s="73"/>
      <c r="S9" s="73"/>
      <c r="T9" s="73">
        <v>30</v>
      </c>
      <c r="U9" s="106">
        <f>Провиант!B9</f>
        <v>4</v>
      </c>
      <c r="V9" s="106">
        <f>Провиант!C9</f>
        <v>4</v>
      </c>
      <c r="W9" s="106">
        <f>IF($AB$2=$AB$12,SUMPRODUCT(F9:V9,$F$12:$V$12),SUMPRODUCT(F9:V9,$F$14:$V$14))</f>
        <v>90.5</v>
      </c>
      <c r="X9" s="106">
        <f t="shared" si="0"/>
        <v>120</v>
      </c>
      <c r="Y9" s="73">
        <f t="shared" si="1"/>
        <v>29.5</v>
      </c>
      <c r="Z9" s="114">
        <f t="shared" si="2"/>
        <v>1.3259668508287292</v>
      </c>
    </row>
    <row r="10" spans="1:28" x14ac:dyDescent="0.25">
      <c r="A10" s="83" t="s">
        <v>8</v>
      </c>
      <c r="B10" s="8">
        <v>1</v>
      </c>
      <c r="C10" s="8"/>
      <c r="D10" s="1"/>
      <c r="E10" s="89"/>
      <c r="F10" s="75">
        <f>База!S11</f>
        <v>3</v>
      </c>
      <c r="G10" s="74">
        <f>База!T11</f>
        <v>2</v>
      </c>
      <c r="H10" s="89">
        <f>База!U11</f>
        <v>0</v>
      </c>
      <c r="I10" s="89">
        <f>База!W11</f>
        <v>0</v>
      </c>
      <c r="J10" s="74">
        <v>4</v>
      </c>
      <c r="K10" s="74">
        <v>4</v>
      </c>
      <c r="L10" s="74">
        <v>5</v>
      </c>
      <c r="M10" s="74">
        <v>2</v>
      </c>
      <c r="N10" s="74"/>
      <c r="O10" s="74"/>
      <c r="P10" s="74"/>
      <c r="Q10" s="74"/>
      <c r="R10" s="74"/>
      <c r="S10" s="74"/>
      <c r="T10" s="74"/>
      <c r="U10" s="109">
        <f>Провиант!B10</f>
        <v>3</v>
      </c>
      <c r="V10" s="109">
        <f>Провиант!C10</f>
        <v>7</v>
      </c>
      <c r="W10" s="109">
        <f>IF($AB$2=$AB$12,SUMPRODUCT(F10:V10,$F$12:$V$12),SUMPRODUCT(F10:V10,$F$14:$V$14))</f>
        <v>46.75</v>
      </c>
      <c r="X10" s="109">
        <f t="shared" si="0"/>
        <v>60</v>
      </c>
      <c r="Y10" s="74">
        <f t="shared" si="1"/>
        <v>13.25</v>
      </c>
      <c r="Z10" s="113">
        <f t="shared" si="2"/>
        <v>1.2834224598930482</v>
      </c>
    </row>
    <row r="11" spans="1:28" ht="15.75" thickBot="1" x14ac:dyDescent="0.3">
      <c r="A11" s="324" t="s">
        <v>3</v>
      </c>
      <c r="B11" s="260">
        <v>1</v>
      </c>
      <c r="C11" s="260"/>
      <c r="D11" s="257"/>
      <c r="E11" s="325"/>
      <c r="F11" s="264">
        <f>База!S12</f>
        <v>4</v>
      </c>
      <c r="G11" s="326">
        <f>База!T12</f>
        <v>1</v>
      </c>
      <c r="H11" s="325">
        <f>База!U12</f>
        <v>1</v>
      </c>
      <c r="I11" s="325">
        <f>База!W12</f>
        <v>0</v>
      </c>
      <c r="J11" s="326">
        <v>7</v>
      </c>
      <c r="K11" s="326">
        <v>5</v>
      </c>
      <c r="L11" s="326">
        <v>5</v>
      </c>
      <c r="M11" s="326">
        <v>1</v>
      </c>
      <c r="N11" s="326"/>
      <c r="O11" s="326"/>
      <c r="P11" s="326"/>
      <c r="Q11" s="326"/>
      <c r="R11" s="326"/>
      <c r="S11" s="326"/>
      <c r="T11" s="326"/>
      <c r="U11" s="327">
        <f>Провиант!B11</f>
        <v>15</v>
      </c>
      <c r="V11" s="327">
        <f>Провиант!C11</f>
        <v>20</v>
      </c>
      <c r="W11" s="327">
        <f>IF($AB$2=$AB$12,SUMPRODUCT(F11:V11,$F$12:$V$12),SUMPRODUCT(F11:V11,$F$14:$V$14))</f>
        <v>66.75</v>
      </c>
      <c r="X11" s="327">
        <f t="shared" si="0"/>
        <v>60</v>
      </c>
      <c r="Y11" s="326">
        <f t="shared" si="1"/>
        <v>-6.75</v>
      </c>
      <c r="Z11" s="328">
        <f t="shared" si="2"/>
        <v>0.898876404494382</v>
      </c>
    </row>
    <row r="12" spans="1:28" x14ac:dyDescent="0.25">
      <c r="A12" s="319" t="s">
        <v>68</v>
      </c>
      <c r="B12" s="320">
        <v>60</v>
      </c>
      <c r="C12" s="320">
        <v>30</v>
      </c>
      <c r="D12" s="320">
        <v>150</v>
      </c>
      <c r="E12" s="320">
        <v>500</v>
      </c>
      <c r="F12" s="320">
        <v>5</v>
      </c>
      <c r="G12" s="320">
        <v>6</v>
      </c>
      <c r="H12" s="320">
        <v>7</v>
      </c>
      <c r="I12" s="320">
        <v>3.5</v>
      </c>
      <c r="J12" s="320">
        <v>1</v>
      </c>
      <c r="K12" s="320">
        <v>2</v>
      </c>
      <c r="L12" s="320">
        <v>0.5</v>
      </c>
      <c r="M12" s="320">
        <v>0.5</v>
      </c>
      <c r="N12" s="320">
        <v>0.5</v>
      </c>
      <c r="O12" s="320">
        <v>4</v>
      </c>
      <c r="P12" s="320">
        <v>0.5</v>
      </c>
      <c r="Q12" s="320">
        <v>1.5</v>
      </c>
      <c r="R12" s="320">
        <v>1.5</v>
      </c>
      <c r="S12" s="320">
        <v>15</v>
      </c>
      <c r="T12" s="320">
        <v>0.1</v>
      </c>
      <c r="U12" s="320">
        <v>0.25</v>
      </c>
      <c r="V12" s="320">
        <v>0.5</v>
      </c>
      <c r="W12" s="320"/>
      <c r="X12" s="321"/>
      <c r="Y12" s="322">
        <f>SUM(Y3:Y11)</f>
        <v>131.35000000000002</v>
      </c>
      <c r="Z12" s="323"/>
      <c r="AB12" t="s">
        <v>98</v>
      </c>
    </row>
    <row r="13" spans="1:28" ht="15.75" thickBot="1" x14ac:dyDescent="0.3">
      <c r="A13" s="329"/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0"/>
      <c r="P13" s="330"/>
      <c r="Q13" s="330"/>
      <c r="R13" s="330"/>
      <c r="S13" s="330"/>
      <c r="T13" s="330"/>
      <c r="U13" s="330"/>
      <c r="V13" s="330"/>
      <c r="W13" s="330"/>
      <c r="X13" s="331"/>
      <c r="Y13" s="332"/>
      <c r="Z13" s="333"/>
    </row>
    <row r="14" spans="1:28" x14ac:dyDescent="0.25">
      <c r="A14" s="82" t="s">
        <v>190</v>
      </c>
      <c r="B14" s="86">
        <v>3</v>
      </c>
      <c r="C14" s="86"/>
      <c r="D14" s="87"/>
      <c r="E14" s="88"/>
      <c r="F14" s="104">
        <f>База!S14</f>
        <v>14</v>
      </c>
      <c r="G14" s="108">
        <f>База!T14</f>
        <v>8</v>
      </c>
      <c r="H14" s="88">
        <f>База!U14</f>
        <v>8</v>
      </c>
      <c r="I14" s="88">
        <f>База!W14</f>
        <v>2</v>
      </c>
      <c r="J14" s="108">
        <v>19</v>
      </c>
      <c r="K14" s="108">
        <v>5</v>
      </c>
      <c r="L14" s="108"/>
      <c r="M14" s="108"/>
      <c r="N14" s="108"/>
      <c r="O14" s="108"/>
      <c r="P14" s="108"/>
      <c r="Q14" s="108"/>
      <c r="R14" s="108"/>
      <c r="S14" s="108"/>
      <c r="T14" s="108"/>
      <c r="U14" s="105">
        <f>Провиант!B13</f>
        <v>2</v>
      </c>
      <c r="V14" s="105">
        <f>Провиант!C13</f>
        <v>12</v>
      </c>
      <c r="W14" s="105">
        <f t="shared" ref="W14:W37" si="3">IF($AB$2=$AB$12,SUMPRODUCT(F14:V14,$F$12:$V$12),SUMPRODUCT(F14:V14,$F$13:$V$13))</f>
        <v>216.5</v>
      </c>
      <c r="X14" s="105">
        <f>IF($AB$2=$AB$12,SUMPRODUCT(B14:E14,$B$12:$E$12),SUMPRODUCT(B14:E14,$B$14:$E$14))</f>
        <v>180</v>
      </c>
      <c r="Y14" s="108">
        <f t="shared" ref="Y14" si="4">X14-W14</f>
        <v>-36.5</v>
      </c>
      <c r="Z14" s="112">
        <f t="shared" ref="Z14" si="5">X14/W14</f>
        <v>0.8314087759815243</v>
      </c>
      <c r="AB14" t="s">
        <v>99</v>
      </c>
    </row>
    <row r="15" spans="1:28" x14ac:dyDescent="0.25">
      <c r="A15" s="83" t="s">
        <v>193</v>
      </c>
      <c r="B15" s="8">
        <v>3</v>
      </c>
      <c r="C15" s="8"/>
      <c r="D15" s="1">
        <v>1</v>
      </c>
      <c r="E15" s="89"/>
      <c r="F15" s="75">
        <f>База!S15</f>
        <v>20</v>
      </c>
      <c r="G15" s="74">
        <f>База!T15</f>
        <v>18</v>
      </c>
      <c r="H15" s="89">
        <f>База!U15</f>
        <v>6</v>
      </c>
      <c r="I15" s="89">
        <f>База!W15</f>
        <v>3</v>
      </c>
      <c r="J15" s="74">
        <v>24</v>
      </c>
      <c r="K15" s="74">
        <v>5</v>
      </c>
      <c r="L15" s="74"/>
      <c r="M15" s="74"/>
      <c r="N15" s="74"/>
      <c r="O15" s="74"/>
      <c r="P15" s="74"/>
      <c r="Q15" s="74"/>
      <c r="R15" s="74"/>
      <c r="S15" s="74"/>
      <c r="T15" s="74"/>
      <c r="U15" s="109">
        <f>Провиант!B14</f>
        <v>5</v>
      </c>
      <c r="V15" s="109">
        <f>Провиант!C14</f>
        <v>10</v>
      </c>
      <c r="W15" s="109">
        <f t="shared" si="3"/>
        <v>300.75</v>
      </c>
      <c r="X15" s="109">
        <f t="shared" ref="X15:X21" si="6">IF($AB$2=$AB$12,SUMPRODUCT(B15:E15,$B$12:$E$12),SUMPRODUCT(B15:E15,$B$14:$E$14))</f>
        <v>330</v>
      </c>
      <c r="Y15" s="74">
        <f t="shared" ref="Y15:Y21" si="7">X15-W15</f>
        <v>29.25</v>
      </c>
      <c r="Z15" s="113">
        <f t="shared" ref="Z15:Z21" si="8">X15/W15</f>
        <v>1.0972568578553616</v>
      </c>
    </row>
    <row r="16" spans="1:28" x14ac:dyDescent="0.25">
      <c r="A16" s="84" t="s">
        <v>195</v>
      </c>
      <c r="B16" s="6">
        <v>1</v>
      </c>
      <c r="C16" s="6"/>
      <c r="D16" s="2"/>
      <c r="E16" s="90"/>
      <c r="F16" s="77">
        <f>База!S16</f>
        <v>7</v>
      </c>
      <c r="G16" s="73">
        <f>База!T16</f>
        <v>4</v>
      </c>
      <c r="H16" s="90">
        <f>База!U16</f>
        <v>6</v>
      </c>
      <c r="I16" s="90">
        <f>База!W16</f>
        <v>0</v>
      </c>
      <c r="J16" s="73">
        <v>7</v>
      </c>
      <c r="K16" s="73">
        <v>2</v>
      </c>
      <c r="L16" s="73"/>
      <c r="M16" s="73"/>
      <c r="N16" s="73"/>
      <c r="O16" s="73"/>
      <c r="P16" s="73"/>
      <c r="Q16" s="73"/>
      <c r="R16" s="73"/>
      <c r="S16" s="73"/>
      <c r="T16" s="73"/>
      <c r="U16" s="106">
        <f>Провиант!B15</f>
        <v>1</v>
      </c>
      <c r="V16" s="106">
        <f>Провиант!C15</f>
        <v>4</v>
      </c>
      <c r="W16" s="106">
        <f t="shared" si="3"/>
        <v>114.25</v>
      </c>
      <c r="X16" s="106">
        <f t="shared" si="6"/>
        <v>60</v>
      </c>
      <c r="Y16" s="73">
        <f t="shared" si="7"/>
        <v>-54.25</v>
      </c>
      <c r="Z16" s="114">
        <f t="shared" si="8"/>
        <v>0.52516411378555794</v>
      </c>
    </row>
    <row r="17" spans="1:26" x14ac:dyDescent="0.25">
      <c r="A17" s="83" t="s">
        <v>196</v>
      </c>
      <c r="B17" s="8">
        <v>1</v>
      </c>
      <c r="C17" s="8"/>
      <c r="D17" s="1"/>
      <c r="E17" s="89"/>
      <c r="F17" s="75">
        <f>База!S17</f>
        <v>6</v>
      </c>
      <c r="G17" s="74">
        <f>База!T17</f>
        <v>2</v>
      </c>
      <c r="H17" s="89">
        <f>База!U17</f>
        <v>0</v>
      </c>
      <c r="I17" s="89">
        <f>База!W17</f>
        <v>1</v>
      </c>
      <c r="J17" s="74">
        <v>8</v>
      </c>
      <c r="K17" s="74">
        <v>2</v>
      </c>
      <c r="L17" s="74"/>
      <c r="M17" s="74"/>
      <c r="N17" s="74"/>
      <c r="O17" s="74"/>
      <c r="P17" s="74"/>
      <c r="Q17" s="74"/>
      <c r="R17" s="74"/>
      <c r="S17" s="74"/>
      <c r="T17" s="74"/>
      <c r="U17" s="109">
        <f>Провиант!B16</f>
        <v>5</v>
      </c>
      <c r="V17" s="109">
        <f>Провиант!C16</f>
        <v>4</v>
      </c>
      <c r="W17" s="109">
        <f t="shared" si="3"/>
        <v>60.75</v>
      </c>
      <c r="X17" s="109">
        <f t="shared" si="6"/>
        <v>60</v>
      </c>
      <c r="Y17" s="74">
        <f t="shared" si="7"/>
        <v>-0.75</v>
      </c>
      <c r="Z17" s="113">
        <f t="shared" si="8"/>
        <v>0.98765432098765427</v>
      </c>
    </row>
    <row r="18" spans="1:26" x14ac:dyDescent="0.25">
      <c r="A18" s="84" t="s">
        <v>198</v>
      </c>
      <c r="B18" s="6">
        <v>3</v>
      </c>
      <c r="C18" s="6"/>
      <c r="D18" s="2">
        <v>1</v>
      </c>
      <c r="E18" s="90"/>
      <c r="F18" s="77">
        <f>База!S18</f>
        <v>18</v>
      </c>
      <c r="G18" s="73">
        <f>База!T18</f>
        <v>14</v>
      </c>
      <c r="H18" s="90">
        <f>База!U18</f>
        <v>10</v>
      </c>
      <c r="I18" s="90">
        <f>База!W18</f>
        <v>4</v>
      </c>
      <c r="J18" s="73">
        <v>23</v>
      </c>
      <c r="K18" s="73">
        <v>5</v>
      </c>
      <c r="L18" s="73"/>
      <c r="M18" s="73"/>
      <c r="N18" s="73"/>
      <c r="O18" s="73"/>
      <c r="P18" s="73"/>
      <c r="Q18" s="73"/>
      <c r="R18" s="73"/>
      <c r="S18" s="73"/>
      <c r="T18" s="73"/>
      <c r="U18" s="106">
        <f>Провиант!B17</f>
        <v>2</v>
      </c>
      <c r="V18" s="106">
        <f>Провиант!C17</f>
        <v>18</v>
      </c>
      <c r="W18" s="106">
        <f t="shared" si="3"/>
        <v>300.5</v>
      </c>
      <c r="X18" s="106">
        <f t="shared" si="6"/>
        <v>330</v>
      </c>
      <c r="Y18" s="73">
        <f t="shared" si="7"/>
        <v>29.5</v>
      </c>
      <c r="Z18" s="114">
        <f t="shared" si="8"/>
        <v>1.0981697171381031</v>
      </c>
    </row>
    <row r="19" spans="1:26" x14ac:dyDescent="0.25">
      <c r="A19" s="83" t="s">
        <v>200</v>
      </c>
      <c r="B19" s="8">
        <v>5</v>
      </c>
      <c r="C19" s="8"/>
      <c r="D19" s="1">
        <v>1</v>
      </c>
      <c r="E19" s="89"/>
      <c r="F19" s="75">
        <f>База!S19</f>
        <v>22</v>
      </c>
      <c r="G19" s="74">
        <f>База!T19</f>
        <v>26</v>
      </c>
      <c r="H19" s="89">
        <f>База!U19</f>
        <v>7</v>
      </c>
      <c r="I19" s="89">
        <f>База!W19</f>
        <v>10</v>
      </c>
      <c r="J19" s="74">
        <v>41</v>
      </c>
      <c r="K19" s="74">
        <v>6</v>
      </c>
      <c r="L19" s="74"/>
      <c r="M19" s="74"/>
      <c r="N19" s="74"/>
      <c r="O19" s="74"/>
      <c r="P19" s="74"/>
      <c r="Q19" s="74"/>
      <c r="R19" s="74"/>
      <c r="S19" s="74"/>
      <c r="T19" s="74"/>
      <c r="U19" s="109">
        <f>Провиант!B18</f>
        <v>4</v>
      </c>
      <c r="V19" s="109">
        <f>Провиант!C18</f>
        <v>25</v>
      </c>
      <c r="W19" s="109">
        <f t="shared" si="3"/>
        <v>416.5</v>
      </c>
      <c r="X19" s="109">
        <f t="shared" si="6"/>
        <v>450</v>
      </c>
      <c r="Y19" s="74">
        <f t="shared" si="7"/>
        <v>33.5</v>
      </c>
      <c r="Z19" s="113">
        <f t="shared" si="8"/>
        <v>1.0804321728691477</v>
      </c>
    </row>
    <row r="20" spans="1:26" x14ac:dyDescent="0.25">
      <c r="A20" s="84" t="s">
        <v>202</v>
      </c>
      <c r="B20" s="6">
        <v>2</v>
      </c>
      <c r="C20" s="6"/>
      <c r="D20" s="2">
        <v>1</v>
      </c>
      <c r="E20" s="90"/>
      <c r="F20" s="77">
        <f>База!S20</f>
        <v>10</v>
      </c>
      <c r="G20" s="73">
        <f>База!T20</f>
        <v>8</v>
      </c>
      <c r="H20" s="90">
        <f>База!U20</f>
        <v>4</v>
      </c>
      <c r="I20" s="90">
        <f>База!W20</f>
        <v>3</v>
      </c>
      <c r="J20" s="73">
        <v>12</v>
      </c>
      <c r="K20" s="73">
        <v>3</v>
      </c>
      <c r="L20" s="73"/>
      <c r="M20" s="73"/>
      <c r="N20" s="73"/>
      <c r="O20" s="73"/>
      <c r="P20" s="73"/>
      <c r="Q20" s="73"/>
      <c r="R20" s="73"/>
      <c r="S20" s="73"/>
      <c r="T20" s="73"/>
      <c r="U20" s="106">
        <f>Провиант!B19</f>
        <v>0</v>
      </c>
      <c r="V20" s="106">
        <f>Провиант!C19</f>
        <v>8</v>
      </c>
      <c r="W20" s="106">
        <f t="shared" si="3"/>
        <v>158.5</v>
      </c>
      <c r="X20" s="106">
        <f t="shared" si="6"/>
        <v>270</v>
      </c>
      <c r="Y20" s="73">
        <f t="shared" si="7"/>
        <v>111.5</v>
      </c>
      <c r="Z20" s="114">
        <f t="shared" si="8"/>
        <v>1.7034700315457414</v>
      </c>
    </row>
    <row r="21" spans="1:26" ht="15.75" thickBot="1" x14ac:dyDescent="0.3">
      <c r="A21" s="314" t="s">
        <v>203</v>
      </c>
      <c r="B21" s="283">
        <v>1</v>
      </c>
      <c r="C21" s="283"/>
      <c r="D21" s="281">
        <v>1</v>
      </c>
      <c r="E21" s="315"/>
      <c r="F21" s="285">
        <f>База!S21</f>
        <v>12</v>
      </c>
      <c r="G21" s="316">
        <f>База!T21</f>
        <v>6</v>
      </c>
      <c r="H21" s="315">
        <f>База!U21</f>
        <v>4</v>
      </c>
      <c r="I21" s="315">
        <f>База!W21</f>
        <v>1</v>
      </c>
      <c r="J21" s="316">
        <v>12</v>
      </c>
      <c r="K21" s="316">
        <v>2</v>
      </c>
      <c r="L21" s="316"/>
      <c r="M21" s="316"/>
      <c r="N21" s="316"/>
      <c r="O21" s="316"/>
      <c r="P21" s="316"/>
      <c r="Q21" s="316"/>
      <c r="R21" s="316"/>
      <c r="S21" s="316"/>
      <c r="T21" s="316"/>
      <c r="U21" s="317">
        <f>Провиант!B20</f>
        <v>1</v>
      </c>
      <c r="V21" s="317">
        <f>Провиант!C20</f>
        <v>12</v>
      </c>
      <c r="W21" s="317">
        <f t="shared" si="3"/>
        <v>149.75</v>
      </c>
      <c r="X21" s="317">
        <f t="shared" si="6"/>
        <v>210</v>
      </c>
      <c r="Y21" s="316">
        <f t="shared" si="7"/>
        <v>60.25</v>
      </c>
      <c r="Z21" s="318">
        <f t="shared" si="8"/>
        <v>1.4023372287145242</v>
      </c>
    </row>
    <row r="22" spans="1:26" ht="15.75" thickBot="1" x14ac:dyDescent="0.3"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</row>
    <row r="23" spans="1:26" x14ac:dyDescent="0.25">
      <c r="A23" s="61" t="s">
        <v>207</v>
      </c>
      <c r="B23" s="86">
        <v>2</v>
      </c>
      <c r="C23" s="86"/>
      <c r="D23" s="87"/>
      <c r="E23" s="88"/>
      <c r="F23" s="104">
        <f>База!S23</f>
        <v>8</v>
      </c>
      <c r="G23" s="108">
        <f>База!T23</f>
        <v>2</v>
      </c>
      <c r="H23" s="88">
        <f>База!U23</f>
        <v>5</v>
      </c>
      <c r="I23" s="88">
        <f>База!W23</f>
        <v>2</v>
      </c>
      <c r="J23" s="108">
        <v>13</v>
      </c>
      <c r="K23" s="108">
        <v>4</v>
      </c>
      <c r="L23" s="108"/>
      <c r="M23" s="108"/>
      <c r="N23" s="108"/>
      <c r="O23" s="108"/>
      <c r="P23" s="108"/>
      <c r="Q23" s="108"/>
      <c r="R23" s="108"/>
      <c r="S23" s="108"/>
      <c r="T23" s="108"/>
      <c r="U23" s="105">
        <f>Провиант!B22</f>
        <v>0</v>
      </c>
      <c r="V23" s="105">
        <f>Провиант!C22</f>
        <v>0</v>
      </c>
      <c r="W23" s="105">
        <f t="shared" ref="W23" si="9">IF($AB$2=$AB$12,SUMPRODUCT(F23:V23,$F$12:$V$12),SUMPRODUCT(F23:V23,$F$13:$V$13))</f>
        <v>115</v>
      </c>
      <c r="X23" s="105">
        <f>IF($AB$2=$AB$12,SUMPRODUCT(B23:E23,$B$12:$E$12),SUMPRODUCT(B23:E23,$B$14:$E$14))</f>
        <v>120</v>
      </c>
      <c r="Y23" s="108">
        <f t="shared" ref="Y23" si="10">X23-W23</f>
        <v>5</v>
      </c>
      <c r="Z23" s="112">
        <f t="shared" ref="Z23" si="11">X23/W23</f>
        <v>1.0434782608695652</v>
      </c>
    </row>
    <row r="24" spans="1:26" x14ac:dyDescent="0.25">
      <c r="A24" s="58" t="s">
        <v>208</v>
      </c>
      <c r="B24" s="8">
        <v>2</v>
      </c>
      <c r="C24" s="8"/>
      <c r="D24" s="1">
        <v>1</v>
      </c>
      <c r="E24" s="89"/>
      <c r="F24" s="75">
        <f>База!S24</f>
        <v>16</v>
      </c>
      <c r="G24" s="74">
        <f>База!T24</f>
        <v>6</v>
      </c>
      <c r="H24" s="89">
        <f>База!U24</f>
        <v>5</v>
      </c>
      <c r="I24" s="89">
        <f>База!W24</f>
        <v>4</v>
      </c>
      <c r="J24" s="74">
        <v>21</v>
      </c>
      <c r="K24" s="74">
        <v>4</v>
      </c>
      <c r="L24" s="74"/>
      <c r="M24" s="74"/>
      <c r="N24" s="74"/>
      <c r="O24" s="74"/>
      <c r="P24" s="74"/>
      <c r="Q24" s="74"/>
      <c r="R24" s="74"/>
      <c r="S24" s="74"/>
      <c r="T24" s="74"/>
      <c r="U24" s="109">
        <f>Провиант!B23</f>
        <v>0</v>
      </c>
      <c r="V24" s="109">
        <f>Провиант!C23</f>
        <v>0</v>
      </c>
      <c r="W24" s="109">
        <f t="shared" ref="W24:W28" si="12">IF($AB$2=$AB$12,SUMPRODUCT(F24:V24,$F$12:$V$12),SUMPRODUCT(F24:V24,$F$13:$V$13))</f>
        <v>194</v>
      </c>
      <c r="X24" s="109">
        <f t="shared" ref="X24:X28" si="13">IF($AB$2=$AB$12,SUMPRODUCT(B24:E24,$B$12:$E$12),SUMPRODUCT(B24:E24,$B$14:$E$14))</f>
        <v>270</v>
      </c>
      <c r="Y24" s="74">
        <f t="shared" ref="Y24:Y28" si="14">X24-W24</f>
        <v>76</v>
      </c>
      <c r="Z24" s="113">
        <f t="shared" ref="Z24:Z28" si="15">X24/W24</f>
        <v>1.3917525773195876</v>
      </c>
    </row>
    <row r="25" spans="1:26" x14ac:dyDescent="0.25">
      <c r="A25" s="59" t="s">
        <v>209</v>
      </c>
      <c r="B25" s="6">
        <v>1</v>
      </c>
      <c r="C25" s="6"/>
      <c r="D25" s="2"/>
      <c r="E25" s="90"/>
      <c r="F25" s="77">
        <f>База!S25</f>
        <v>5</v>
      </c>
      <c r="G25" s="73">
        <f>База!T25</f>
        <v>1</v>
      </c>
      <c r="H25" s="90">
        <f>База!U25</f>
        <v>3</v>
      </c>
      <c r="I25" s="90">
        <f>База!W25</f>
        <v>8</v>
      </c>
      <c r="J25" s="73">
        <v>12</v>
      </c>
      <c r="K25" s="73">
        <v>2</v>
      </c>
      <c r="L25" s="73"/>
      <c r="M25" s="73"/>
      <c r="N25" s="73"/>
      <c r="O25" s="73"/>
      <c r="P25" s="73"/>
      <c r="Q25" s="73"/>
      <c r="R25" s="73"/>
      <c r="S25" s="73"/>
      <c r="T25" s="73"/>
      <c r="U25" s="106">
        <f>Провиант!B24</f>
        <v>0</v>
      </c>
      <c r="V25" s="106">
        <f>Провиант!C24</f>
        <v>0</v>
      </c>
      <c r="W25" s="106">
        <f t="shared" si="12"/>
        <v>96</v>
      </c>
      <c r="X25" s="106">
        <f t="shared" si="13"/>
        <v>60</v>
      </c>
      <c r="Y25" s="73">
        <f t="shared" si="14"/>
        <v>-36</v>
      </c>
      <c r="Z25" s="114">
        <f t="shared" si="15"/>
        <v>0.625</v>
      </c>
    </row>
    <row r="26" spans="1:26" x14ac:dyDescent="0.25">
      <c r="A26" s="58" t="s">
        <v>210</v>
      </c>
      <c r="B26" s="8">
        <v>1</v>
      </c>
      <c r="C26" s="8"/>
      <c r="D26" s="1"/>
      <c r="E26" s="89"/>
      <c r="F26" s="75">
        <f>База!S26</f>
        <v>6</v>
      </c>
      <c r="G26" s="74">
        <f>База!T26</f>
        <v>3</v>
      </c>
      <c r="H26" s="89">
        <f>База!U26</f>
        <v>1</v>
      </c>
      <c r="I26" s="89">
        <f>База!W26</f>
        <v>1</v>
      </c>
      <c r="J26" s="74">
        <v>13</v>
      </c>
      <c r="K26" s="74">
        <v>4</v>
      </c>
      <c r="L26" s="74"/>
      <c r="M26" s="74"/>
      <c r="N26" s="74"/>
      <c r="O26" s="74"/>
      <c r="P26" s="74"/>
      <c r="Q26" s="74"/>
      <c r="R26" s="74"/>
      <c r="S26" s="74"/>
      <c r="T26" s="74"/>
      <c r="U26" s="109">
        <f>Провиант!B25</f>
        <v>0</v>
      </c>
      <c r="V26" s="109">
        <f>Провиант!C25</f>
        <v>0</v>
      </c>
      <c r="W26" s="109">
        <f t="shared" si="12"/>
        <v>79.5</v>
      </c>
      <c r="X26" s="109">
        <f t="shared" si="13"/>
        <v>60</v>
      </c>
      <c r="Y26" s="74">
        <f t="shared" si="14"/>
        <v>-19.5</v>
      </c>
      <c r="Z26" s="113">
        <f t="shared" si="15"/>
        <v>0.75471698113207553</v>
      </c>
    </row>
    <row r="27" spans="1:26" x14ac:dyDescent="0.25">
      <c r="A27" s="59" t="s">
        <v>211</v>
      </c>
      <c r="B27" s="6">
        <v>1</v>
      </c>
      <c r="C27" s="6"/>
      <c r="D27" s="2"/>
      <c r="E27" s="90"/>
      <c r="F27" s="77">
        <f>База!S27</f>
        <v>3</v>
      </c>
      <c r="G27" s="73">
        <f>База!T27</f>
        <v>1</v>
      </c>
      <c r="H27" s="90">
        <f>База!U27</f>
        <v>2</v>
      </c>
      <c r="I27" s="90">
        <f>База!W27</f>
        <v>0</v>
      </c>
      <c r="J27" s="73">
        <v>9</v>
      </c>
      <c r="K27" s="73">
        <v>3</v>
      </c>
      <c r="L27" s="73"/>
      <c r="M27" s="73"/>
      <c r="N27" s="73"/>
      <c r="O27" s="73"/>
      <c r="P27" s="73"/>
      <c r="Q27" s="73"/>
      <c r="R27" s="73"/>
      <c r="S27" s="73"/>
      <c r="T27" s="73"/>
      <c r="U27" s="106">
        <f>Провиант!B26</f>
        <v>0</v>
      </c>
      <c r="V27" s="106">
        <f>Провиант!C26</f>
        <v>0</v>
      </c>
      <c r="W27" s="106">
        <f t="shared" si="12"/>
        <v>50</v>
      </c>
      <c r="X27" s="106">
        <f t="shared" si="13"/>
        <v>60</v>
      </c>
      <c r="Y27" s="73">
        <f t="shared" si="14"/>
        <v>10</v>
      </c>
      <c r="Z27" s="114">
        <f t="shared" si="15"/>
        <v>1.2</v>
      </c>
    </row>
    <row r="28" spans="1:26" ht="15.75" thickBot="1" x14ac:dyDescent="0.3">
      <c r="A28" s="278" t="s">
        <v>212</v>
      </c>
      <c r="B28" s="283">
        <v>2</v>
      </c>
      <c r="C28" s="283"/>
      <c r="D28" s="281"/>
      <c r="E28" s="315"/>
      <c r="F28" s="285">
        <f>База!S28</f>
        <v>9</v>
      </c>
      <c r="G28" s="316">
        <f>База!T28</f>
        <v>1</v>
      </c>
      <c r="H28" s="315">
        <f>База!U28</f>
        <v>6</v>
      </c>
      <c r="I28" s="315">
        <f>База!W28</f>
        <v>1</v>
      </c>
      <c r="J28" s="316">
        <v>12</v>
      </c>
      <c r="K28" s="316">
        <v>3</v>
      </c>
      <c r="L28" s="316"/>
      <c r="M28" s="316"/>
      <c r="N28" s="316"/>
      <c r="O28" s="316"/>
      <c r="P28" s="316"/>
      <c r="Q28" s="316"/>
      <c r="R28" s="316"/>
      <c r="S28" s="316"/>
      <c r="T28" s="316"/>
      <c r="U28" s="317">
        <f>Провиант!B27</f>
        <v>0</v>
      </c>
      <c r="V28" s="317">
        <f>Провиант!C27</f>
        <v>0</v>
      </c>
      <c r="W28" s="317">
        <f t="shared" si="12"/>
        <v>114.5</v>
      </c>
      <c r="X28" s="317">
        <f t="shared" si="13"/>
        <v>120</v>
      </c>
      <c r="Y28" s="316">
        <f t="shared" si="14"/>
        <v>5.5</v>
      </c>
      <c r="Z28" s="318">
        <f t="shared" si="15"/>
        <v>1.0480349344978166</v>
      </c>
    </row>
    <row r="29" spans="1:26" ht="15.75" thickBot="1" x14ac:dyDescent="0.3"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</row>
    <row r="30" spans="1:26" x14ac:dyDescent="0.25">
      <c r="A30" s="61" t="s">
        <v>214</v>
      </c>
      <c r="B30" s="86"/>
      <c r="C30" s="86"/>
      <c r="D30" s="87"/>
      <c r="E30" s="88"/>
      <c r="F30" s="104">
        <f>База!S30</f>
        <v>0</v>
      </c>
      <c r="G30" s="108">
        <f>База!T30</f>
        <v>0</v>
      </c>
      <c r="H30" s="88">
        <f>База!U30</f>
        <v>0</v>
      </c>
      <c r="I30" s="88">
        <f>База!W30</f>
        <v>0</v>
      </c>
      <c r="J30" s="108">
        <v>8</v>
      </c>
      <c r="K30" s="108">
        <v>4</v>
      </c>
      <c r="L30" s="108"/>
      <c r="M30" s="108"/>
      <c r="N30" s="108"/>
      <c r="O30" s="108"/>
      <c r="P30" s="108"/>
      <c r="Q30" s="108"/>
      <c r="R30" s="108"/>
      <c r="S30" s="108"/>
      <c r="T30" s="108"/>
      <c r="U30" s="105">
        <f>Провиант!B29</f>
        <v>0</v>
      </c>
      <c r="V30" s="105">
        <f>Провиант!C29</f>
        <v>0</v>
      </c>
      <c r="W30" s="105">
        <f t="shared" si="3"/>
        <v>16</v>
      </c>
      <c r="X30" s="105">
        <f t="shared" ref="X30:X37" si="16">IF($AB$2=$AB$12,SUMPRODUCT(B30:E30,$B$12:$E$12),SUMPRODUCT(B30:E30,$B$14:$E$14))</f>
        <v>0</v>
      </c>
      <c r="Y30" s="108">
        <f t="shared" ref="Y30:Y37" si="17">X30-W30</f>
        <v>-16</v>
      </c>
      <c r="Z30" s="112">
        <f t="shared" ref="Z30:Z37" si="18">X30/W30</f>
        <v>0</v>
      </c>
    </row>
    <row r="31" spans="1:26" x14ac:dyDescent="0.25">
      <c r="A31" s="58" t="s">
        <v>215</v>
      </c>
      <c r="B31" s="8"/>
      <c r="C31" s="8"/>
      <c r="D31" s="1"/>
      <c r="E31" s="89"/>
      <c r="F31" s="75">
        <f>База!S31</f>
        <v>0</v>
      </c>
      <c r="G31" s="74">
        <f>База!T31</f>
        <v>0</v>
      </c>
      <c r="H31" s="89">
        <f>База!U31</f>
        <v>0</v>
      </c>
      <c r="I31" s="89">
        <f>База!W31</f>
        <v>0</v>
      </c>
      <c r="J31" s="74">
        <v>8</v>
      </c>
      <c r="K31" s="74">
        <v>3</v>
      </c>
      <c r="L31" s="74"/>
      <c r="M31" s="74"/>
      <c r="N31" s="74"/>
      <c r="O31" s="74"/>
      <c r="P31" s="74"/>
      <c r="Q31" s="74"/>
      <c r="R31" s="74"/>
      <c r="S31" s="74"/>
      <c r="T31" s="74"/>
      <c r="U31" s="109">
        <f>Провиант!B30</f>
        <v>0</v>
      </c>
      <c r="V31" s="109">
        <f>Провиант!C30</f>
        <v>0</v>
      </c>
      <c r="W31" s="109">
        <f t="shared" si="3"/>
        <v>14</v>
      </c>
      <c r="X31" s="109">
        <f t="shared" si="16"/>
        <v>0</v>
      </c>
      <c r="Y31" s="74">
        <f t="shared" si="17"/>
        <v>-14</v>
      </c>
      <c r="Z31" s="113">
        <f t="shared" si="18"/>
        <v>0</v>
      </c>
    </row>
    <row r="32" spans="1:26" x14ac:dyDescent="0.25">
      <c r="A32" s="59" t="s">
        <v>216</v>
      </c>
      <c r="B32" s="6"/>
      <c r="C32" s="6"/>
      <c r="D32" s="2"/>
      <c r="E32" s="90"/>
      <c r="F32" s="77">
        <f>База!S32</f>
        <v>0</v>
      </c>
      <c r="G32" s="73">
        <f>База!T32</f>
        <v>0</v>
      </c>
      <c r="H32" s="90">
        <f>База!U32</f>
        <v>0</v>
      </c>
      <c r="I32" s="90">
        <f>База!W32</f>
        <v>0</v>
      </c>
      <c r="J32" s="73">
        <v>9</v>
      </c>
      <c r="K32" s="73">
        <v>3</v>
      </c>
      <c r="L32" s="73"/>
      <c r="M32" s="73"/>
      <c r="N32" s="73"/>
      <c r="O32" s="73"/>
      <c r="P32" s="73"/>
      <c r="Q32" s="73"/>
      <c r="R32" s="73"/>
      <c r="S32" s="73"/>
      <c r="T32" s="73"/>
      <c r="U32" s="106">
        <f>Провиант!B31</f>
        <v>0</v>
      </c>
      <c r="V32" s="106">
        <f>Провиант!C31</f>
        <v>0</v>
      </c>
      <c r="W32" s="106">
        <f t="shared" si="3"/>
        <v>15</v>
      </c>
      <c r="X32" s="106">
        <f t="shared" si="16"/>
        <v>0</v>
      </c>
      <c r="Y32" s="73">
        <f t="shared" si="17"/>
        <v>-15</v>
      </c>
      <c r="Z32" s="114">
        <f t="shared" si="18"/>
        <v>0</v>
      </c>
    </row>
    <row r="33" spans="1:26" x14ac:dyDescent="0.25">
      <c r="A33" s="58" t="s">
        <v>217</v>
      </c>
      <c r="B33" s="8"/>
      <c r="C33" s="8"/>
      <c r="D33" s="1"/>
      <c r="E33" s="89"/>
      <c r="F33" s="75">
        <f>База!S33</f>
        <v>0</v>
      </c>
      <c r="G33" s="74">
        <f>База!T33</f>
        <v>0</v>
      </c>
      <c r="H33" s="89">
        <f>База!U33</f>
        <v>0</v>
      </c>
      <c r="I33" s="89">
        <f>База!W33</f>
        <v>0</v>
      </c>
      <c r="J33" s="74">
        <v>10</v>
      </c>
      <c r="K33" s="74">
        <v>3</v>
      </c>
      <c r="L33" s="74"/>
      <c r="M33" s="74"/>
      <c r="N33" s="74"/>
      <c r="O33" s="74"/>
      <c r="P33" s="74"/>
      <c r="Q33" s="74"/>
      <c r="R33" s="74"/>
      <c r="S33" s="74"/>
      <c r="T33" s="74"/>
      <c r="U33" s="109">
        <f>Провиант!B32</f>
        <v>0</v>
      </c>
      <c r="V33" s="109">
        <f>Провиант!C32</f>
        <v>0</v>
      </c>
      <c r="W33" s="109">
        <f t="shared" si="3"/>
        <v>16</v>
      </c>
      <c r="X33" s="109">
        <f t="shared" si="16"/>
        <v>0</v>
      </c>
      <c r="Y33" s="74">
        <f t="shared" si="17"/>
        <v>-16</v>
      </c>
      <c r="Z33" s="113">
        <f t="shared" si="18"/>
        <v>0</v>
      </c>
    </row>
    <row r="34" spans="1:26" x14ac:dyDescent="0.25">
      <c r="A34" s="59" t="s">
        <v>218</v>
      </c>
      <c r="B34" s="6"/>
      <c r="C34" s="6"/>
      <c r="D34" s="2"/>
      <c r="E34" s="90"/>
      <c r="F34" s="77">
        <f>База!S34</f>
        <v>0</v>
      </c>
      <c r="G34" s="73">
        <f>База!T34</f>
        <v>0</v>
      </c>
      <c r="H34" s="90">
        <f>База!U34</f>
        <v>0</v>
      </c>
      <c r="I34" s="90">
        <f>База!W34</f>
        <v>0</v>
      </c>
      <c r="J34" s="73">
        <v>18</v>
      </c>
      <c r="K34" s="73">
        <v>3</v>
      </c>
      <c r="L34" s="73"/>
      <c r="M34" s="73"/>
      <c r="N34" s="73"/>
      <c r="O34" s="73"/>
      <c r="P34" s="73"/>
      <c r="Q34" s="73"/>
      <c r="R34" s="73"/>
      <c r="S34" s="73"/>
      <c r="T34" s="73"/>
      <c r="U34" s="106">
        <f>Провиант!B33</f>
        <v>0</v>
      </c>
      <c r="V34" s="106">
        <f>Провиант!C33</f>
        <v>0</v>
      </c>
      <c r="W34" s="106">
        <f t="shared" si="3"/>
        <v>24</v>
      </c>
      <c r="X34" s="106">
        <f t="shared" si="16"/>
        <v>0</v>
      </c>
      <c r="Y34" s="73">
        <f t="shared" si="17"/>
        <v>-24</v>
      </c>
      <c r="Z34" s="114">
        <f t="shared" si="18"/>
        <v>0</v>
      </c>
    </row>
    <row r="35" spans="1:26" x14ac:dyDescent="0.25">
      <c r="A35" s="58" t="s">
        <v>219</v>
      </c>
      <c r="B35" s="8"/>
      <c r="C35" s="8"/>
      <c r="D35" s="1"/>
      <c r="E35" s="89"/>
      <c r="F35" s="75">
        <f>База!S35</f>
        <v>0</v>
      </c>
      <c r="G35" s="74">
        <f>База!T35</f>
        <v>0</v>
      </c>
      <c r="H35" s="89">
        <f>База!U35</f>
        <v>0</v>
      </c>
      <c r="I35" s="89">
        <f>База!W35</f>
        <v>0</v>
      </c>
      <c r="J35" s="74">
        <v>27</v>
      </c>
      <c r="K35" s="74">
        <v>5</v>
      </c>
      <c r="L35" s="74"/>
      <c r="M35" s="74"/>
      <c r="N35" s="74"/>
      <c r="O35" s="74"/>
      <c r="P35" s="74"/>
      <c r="Q35" s="74"/>
      <c r="R35" s="74"/>
      <c r="S35" s="74"/>
      <c r="T35" s="74"/>
      <c r="U35" s="109">
        <f>Провиант!B34</f>
        <v>0</v>
      </c>
      <c r="V35" s="109">
        <f>Провиант!C34</f>
        <v>0</v>
      </c>
      <c r="W35" s="109">
        <f t="shared" si="3"/>
        <v>37</v>
      </c>
      <c r="X35" s="109">
        <f t="shared" si="16"/>
        <v>0</v>
      </c>
      <c r="Y35" s="74">
        <f t="shared" si="17"/>
        <v>-37</v>
      </c>
      <c r="Z35" s="113">
        <f t="shared" si="18"/>
        <v>0</v>
      </c>
    </row>
    <row r="36" spans="1:26" x14ac:dyDescent="0.25">
      <c r="A36" s="59" t="s">
        <v>220</v>
      </c>
      <c r="B36" s="6"/>
      <c r="C36" s="6"/>
      <c r="D36" s="2"/>
      <c r="E36" s="90"/>
      <c r="F36" s="77">
        <f>База!S36</f>
        <v>0</v>
      </c>
      <c r="G36" s="73">
        <f>База!T36</f>
        <v>0</v>
      </c>
      <c r="H36" s="90">
        <f>База!U36</f>
        <v>0</v>
      </c>
      <c r="I36" s="90">
        <f>База!W36</f>
        <v>0</v>
      </c>
      <c r="J36" s="73">
        <v>24</v>
      </c>
      <c r="K36" s="73">
        <v>5</v>
      </c>
      <c r="L36" s="73"/>
      <c r="M36" s="73"/>
      <c r="N36" s="73"/>
      <c r="O36" s="73"/>
      <c r="P36" s="73"/>
      <c r="Q36" s="73"/>
      <c r="R36" s="73"/>
      <c r="S36" s="73"/>
      <c r="T36" s="73"/>
      <c r="U36" s="106">
        <f>Провиант!B35</f>
        <v>0</v>
      </c>
      <c r="V36" s="106">
        <f>Провиант!C35</f>
        <v>0</v>
      </c>
      <c r="W36" s="106">
        <f t="shared" si="3"/>
        <v>34</v>
      </c>
      <c r="X36" s="106">
        <f t="shared" si="16"/>
        <v>0</v>
      </c>
      <c r="Y36" s="73">
        <f t="shared" si="17"/>
        <v>-34</v>
      </c>
      <c r="Z36" s="114">
        <f t="shared" si="18"/>
        <v>0</v>
      </c>
    </row>
    <row r="37" spans="1:26" ht="15.75" thickBot="1" x14ac:dyDescent="0.3">
      <c r="A37" s="278" t="s">
        <v>221</v>
      </c>
      <c r="B37" s="283"/>
      <c r="C37" s="283"/>
      <c r="D37" s="281"/>
      <c r="E37" s="315"/>
      <c r="F37" s="285">
        <f>База!S37</f>
        <v>0</v>
      </c>
      <c r="G37" s="316">
        <f>База!T37</f>
        <v>0</v>
      </c>
      <c r="H37" s="315">
        <f>База!U37</f>
        <v>0</v>
      </c>
      <c r="I37" s="315">
        <f>База!W37</f>
        <v>0</v>
      </c>
      <c r="J37" s="316">
        <v>21</v>
      </c>
      <c r="K37" s="316">
        <v>4</v>
      </c>
      <c r="L37" s="316"/>
      <c r="M37" s="316"/>
      <c r="N37" s="316"/>
      <c r="O37" s="316"/>
      <c r="P37" s="316"/>
      <c r="Q37" s="316"/>
      <c r="R37" s="316"/>
      <c r="S37" s="316"/>
      <c r="T37" s="316"/>
      <c r="U37" s="317">
        <f>Провиант!B36</f>
        <v>0</v>
      </c>
      <c r="V37" s="317">
        <f>Провиант!C36</f>
        <v>0</v>
      </c>
      <c r="W37" s="317">
        <f t="shared" si="3"/>
        <v>29</v>
      </c>
      <c r="X37" s="317">
        <f t="shared" si="16"/>
        <v>0</v>
      </c>
      <c r="Y37" s="316">
        <f t="shared" si="17"/>
        <v>-29</v>
      </c>
      <c r="Z37" s="318">
        <f t="shared" si="18"/>
        <v>0</v>
      </c>
    </row>
    <row r="38" spans="1:26" x14ac:dyDescent="0.25"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</row>
    <row r="39" spans="1:26" x14ac:dyDescent="0.25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</row>
    <row r="40" spans="1:26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</row>
    <row r="41" spans="1:26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</row>
    <row r="42" spans="1:26" x14ac:dyDescent="0.25"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</row>
    <row r="43" spans="1:26" x14ac:dyDescent="0.25"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</row>
    <row r="45" spans="1:26" x14ac:dyDescent="0.25">
      <c r="D45" t="s">
        <v>113</v>
      </c>
      <c r="M45" s="151"/>
      <c r="N45" s="152"/>
      <c r="Z45" s="111"/>
    </row>
    <row r="46" spans="1:26" x14ac:dyDescent="0.25">
      <c r="A46" s="136" t="s">
        <v>107</v>
      </c>
      <c r="B46" s="136"/>
      <c r="C46" s="136"/>
      <c r="D46" s="136">
        <v>1</v>
      </c>
      <c r="E46" s="136"/>
      <c r="F46" s="146">
        <f t="shared" ref="F46:F52" si="19">D46/$D$53*($Z$3*7)</f>
        <v>0.58224163027656484</v>
      </c>
      <c r="G46" s="150">
        <f>1-F46</f>
        <v>0.41775836972343516</v>
      </c>
      <c r="I46" s="146">
        <f>1-(D46)/($D$53)</f>
        <v>0.85714285714285721</v>
      </c>
      <c r="J46" s="150">
        <f>(1-$Z$3)*I46</f>
        <v>0.35807860262008728</v>
      </c>
      <c r="K46" s="150"/>
      <c r="L46" s="92"/>
      <c r="M46" s="92"/>
      <c r="O46" s="92"/>
      <c r="W46" s="142" t="s">
        <v>92</v>
      </c>
      <c r="X46" s="142"/>
      <c r="Y46" s="142"/>
      <c r="Z46" s="143">
        <f>J49*-1</f>
        <v>-0.35807860262008728</v>
      </c>
    </row>
    <row r="47" spans="1:26" x14ac:dyDescent="0.25">
      <c r="A47" s="138" t="s">
        <v>108</v>
      </c>
      <c r="B47" s="138"/>
      <c r="C47" s="138"/>
      <c r="D47" s="138">
        <v>1</v>
      </c>
      <c r="E47" s="138"/>
      <c r="F47" s="146">
        <f t="shared" si="19"/>
        <v>0.58224163027656484</v>
      </c>
      <c r="G47" s="150">
        <f t="shared" ref="G47:G52" si="20">1-F47</f>
        <v>0.41775836972343516</v>
      </c>
      <c r="I47" s="146">
        <f t="shared" ref="I47:I52" si="21">1-(D47)/($D$53)</f>
        <v>0.85714285714285721</v>
      </c>
      <c r="J47" s="150">
        <f t="shared" ref="J47:J52" si="22">(1-$Z$3)*I47</f>
        <v>0.35807860262008728</v>
      </c>
      <c r="K47" s="150"/>
      <c r="M47" s="92"/>
      <c r="O47" s="92"/>
      <c r="W47" s="144" t="s">
        <v>83</v>
      </c>
      <c r="X47" s="144"/>
      <c r="Y47" s="144"/>
      <c r="Z47" s="145">
        <f>J50*-1</f>
        <v>-0.35807860262008728</v>
      </c>
    </row>
    <row r="48" spans="1:26" x14ac:dyDescent="0.25">
      <c r="A48" s="140" t="s">
        <v>109</v>
      </c>
      <c r="B48" s="140"/>
      <c r="C48" s="140"/>
      <c r="D48" s="140">
        <v>1</v>
      </c>
      <c r="E48" s="140"/>
      <c r="F48" s="146">
        <f t="shared" si="19"/>
        <v>0.58224163027656484</v>
      </c>
      <c r="G48" s="150">
        <f t="shared" si="20"/>
        <v>0.41775836972343516</v>
      </c>
      <c r="I48" s="146">
        <f t="shared" si="21"/>
        <v>0.85714285714285721</v>
      </c>
      <c r="J48" s="150">
        <f t="shared" si="22"/>
        <v>0.35807860262008728</v>
      </c>
      <c r="K48" s="150"/>
      <c r="M48" s="92"/>
      <c r="O48" s="92"/>
      <c r="W48" s="140" t="s">
        <v>84</v>
      </c>
      <c r="X48" s="140"/>
      <c r="Y48" s="140"/>
      <c r="Z48" s="141">
        <f>J48*-1</f>
        <v>-0.35807860262008728</v>
      </c>
    </row>
    <row r="49" spans="1:28" x14ac:dyDescent="0.25">
      <c r="A49" s="142" t="s">
        <v>12</v>
      </c>
      <c r="B49" s="142"/>
      <c r="C49" s="142"/>
      <c r="D49" s="142">
        <v>1</v>
      </c>
      <c r="E49" s="142"/>
      <c r="F49" s="146">
        <f t="shared" si="19"/>
        <v>0.58224163027656484</v>
      </c>
      <c r="G49" s="150">
        <f t="shared" si="20"/>
        <v>0.41775836972343516</v>
      </c>
      <c r="I49" s="146">
        <f t="shared" si="21"/>
        <v>0.85714285714285721</v>
      </c>
      <c r="J49" s="150">
        <f t="shared" si="22"/>
        <v>0.35807860262008728</v>
      </c>
      <c r="K49" s="150"/>
      <c r="M49" s="92"/>
      <c r="O49" s="92"/>
      <c r="W49" s="138" t="s">
        <v>93</v>
      </c>
      <c r="X49" s="138"/>
      <c r="Y49" s="138"/>
      <c r="Z49" s="139">
        <f>J47*-0.5</f>
        <v>-0.17903930131004364</v>
      </c>
    </row>
    <row r="50" spans="1:28" x14ac:dyDescent="0.25">
      <c r="A50" s="144" t="s">
        <v>110</v>
      </c>
      <c r="B50" s="144"/>
      <c r="C50" s="144"/>
      <c r="D50" s="144">
        <v>1</v>
      </c>
      <c r="E50" s="144"/>
      <c r="F50" s="146">
        <f t="shared" si="19"/>
        <v>0.58224163027656484</v>
      </c>
      <c r="G50" s="150">
        <f t="shared" si="20"/>
        <v>0.41775836972343516</v>
      </c>
      <c r="I50" s="146">
        <f t="shared" si="21"/>
        <v>0.85714285714285721</v>
      </c>
      <c r="J50" s="150">
        <f t="shared" si="22"/>
        <v>0.35807860262008728</v>
      </c>
      <c r="K50" s="150"/>
      <c r="M50" s="92"/>
      <c r="O50" s="92"/>
      <c r="W50" s="127" t="s">
        <v>106</v>
      </c>
      <c r="X50" s="127"/>
      <c r="Y50" s="127"/>
      <c r="Z50" s="149">
        <f>J52*-0.5</f>
        <v>-0.17903930131004364</v>
      </c>
    </row>
    <row r="51" spans="1:28" x14ac:dyDescent="0.25">
      <c r="A51" t="s">
        <v>111</v>
      </c>
      <c r="D51">
        <v>1</v>
      </c>
      <c r="F51" s="146">
        <f t="shared" si="19"/>
        <v>0.58224163027656484</v>
      </c>
      <c r="G51" s="150">
        <f t="shared" si="20"/>
        <v>0.41775836972343516</v>
      </c>
      <c r="I51" s="146">
        <f t="shared" si="21"/>
        <v>0.85714285714285721</v>
      </c>
      <c r="J51" s="150">
        <f t="shared" si="22"/>
        <v>0.35807860262008728</v>
      </c>
      <c r="K51" s="150"/>
      <c r="M51" s="92"/>
      <c r="O51" s="92"/>
      <c r="W51" t="s">
        <v>86</v>
      </c>
      <c r="Z51" s="111">
        <f>J51*-1</f>
        <v>-0.35807860262008728</v>
      </c>
    </row>
    <row r="52" spans="1:28" x14ac:dyDescent="0.25">
      <c r="A52" s="127" t="s">
        <v>112</v>
      </c>
      <c r="B52" s="127"/>
      <c r="C52" s="127"/>
      <c r="D52" s="127">
        <v>1</v>
      </c>
      <c r="E52" s="127"/>
      <c r="F52" s="146">
        <f t="shared" si="19"/>
        <v>0.58224163027656484</v>
      </c>
      <c r="G52" s="150">
        <f t="shared" si="20"/>
        <v>0.41775836972343516</v>
      </c>
      <c r="I52" s="146">
        <f t="shared" si="21"/>
        <v>0.85714285714285721</v>
      </c>
      <c r="J52" s="150">
        <f t="shared" si="22"/>
        <v>0.35807860262008728</v>
      </c>
      <c r="K52" s="150"/>
      <c r="M52" s="92"/>
      <c r="O52" s="92"/>
      <c r="W52" s="136" t="s">
        <v>85</v>
      </c>
      <c r="X52" s="136"/>
      <c r="Y52" s="136"/>
      <c r="Z52" s="137">
        <f>J46*-1</f>
        <v>-0.35807860262008728</v>
      </c>
    </row>
    <row r="53" spans="1:28" x14ac:dyDescent="0.25">
      <c r="D53" s="147">
        <f>SUM(D46:D52)</f>
        <v>7</v>
      </c>
      <c r="E53" s="147"/>
      <c r="F53" s="146">
        <f>SUM(F46:F52)</f>
        <v>4.0756914119359537</v>
      </c>
      <c r="I53" s="150">
        <f>SUM(I46:I52)</f>
        <v>6.0000000000000018</v>
      </c>
      <c r="J53" s="150"/>
      <c r="K53" s="150"/>
      <c r="W53" s="136" t="s">
        <v>102</v>
      </c>
      <c r="X53" s="136"/>
      <c r="Y53" s="136"/>
      <c r="Z53" s="137">
        <f>J46*-1</f>
        <v>-0.35807860262008728</v>
      </c>
    </row>
    <row r="54" spans="1:28" x14ac:dyDescent="0.25">
      <c r="D54" s="147"/>
      <c r="E54" s="147"/>
      <c r="F54" s="148">
        <f>Z3*7</f>
        <v>4.0756914119359537</v>
      </c>
      <c r="W54" s="136" t="s">
        <v>103</v>
      </c>
      <c r="X54" s="136"/>
      <c r="Y54" s="136"/>
      <c r="Z54" s="137">
        <f>J46*AA54*-0.5</f>
        <v>-6.2663755458515269E-2</v>
      </c>
      <c r="AA54" s="92">
        <f>35%</f>
        <v>0.35</v>
      </c>
      <c r="AB54" t="s">
        <v>104</v>
      </c>
    </row>
    <row r="55" spans="1:28" x14ac:dyDescent="0.25">
      <c r="W55" s="136" t="s">
        <v>105</v>
      </c>
      <c r="X55" s="136"/>
      <c r="Y55" s="136"/>
      <c r="Z55" s="137">
        <f>J46*-0.25</f>
        <v>-8.9519650655021821E-2</v>
      </c>
      <c r="AA55" s="92"/>
    </row>
    <row r="56" spans="1:28" x14ac:dyDescent="0.25">
      <c r="AA56">
        <f>AA54*0.5</f>
        <v>0.17499999999999999</v>
      </c>
    </row>
    <row r="57" spans="1:28" x14ac:dyDescent="0.25">
      <c r="F57" s="92">
        <f>G46/6*-1</f>
        <v>-6.9626394953905865E-2</v>
      </c>
      <c r="G57" s="150">
        <f>G47+F57</f>
        <v>0.34813197476952928</v>
      </c>
      <c r="Z57" s="51">
        <f>AA54*-0.5</f>
        <v>-0.17499999999999999</v>
      </c>
    </row>
  </sheetData>
  <mergeCells count="4">
    <mergeCell ref="A1:A2"/>
    <mergeCell ref="B1:E1"/>
    <mergeCell ref="W1:Z1"/>
    <mergeCell ref="F1:V1"/>
  </mergeCells>
  <conditionalFormatting sqref="Y3:Y11">
    <cfRule type="cellIs" dxfId="14" priority="21" operator="lessThan">
      <formula>0</formula>
    </cfRule>
    <cfRule type="cellIs" dxfId="13" priority="22" operator="greaterThan">
      <formula>0</formula>
    </cfRule>
  </conditionalFormatting>
  <conditionalFormatting sqref="Y14:Y21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Y30:Y37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Y23:Y27">
    <cfRule type="cellIs" dxfId="8" priority="3" operator="lessThan">
      <formula>0</formula>
    </cfRule>
    <cfRule type="cellIs" dxfId="7" priority="4" operator="greaterThan">
      <formula>0</formula>
    </cfRule>
  </conditionalFormatting>
  <conditionalFormatting sqref="Y28">
    <cfRule type="cellIs" dxfId="6" priority="1" operator="lessThan">
      <formula>0</formula>
    </cfRule>
    <cfRule type="cellIs" dxfId="5" priority="2" operator="greaterThan">
      <formula>0</formula>
    </cfRule>
  </conditionalFormatting>
  <dataValidations disablePrompts="1" count="1">
    <dataValidation type="list" allowBlank="1" showInputMessage="1" showErrorMessage="1" sqref="AB2" xr:uid="{CF468174-D99B-46DA-AFEB-8821176AE034}">
      <formula1>электричество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7487-1621-4217-9441-90B0250417C7}">
  <sheetPr codeName="Лист6"/>
  <dimension ref="A1:X219"/>
  <sheetViews>
    <sheetView topLeftCell="A43" zoomScale="85" zoomScaleNormal="85" workbookViewId="0">
      <selection activeCell="I18" sqref="I18"/>
    </sheetView>
  </sheetViews>
  <sheetFormatPr defaultRowHeight="15" x14ac:dyDescent="0.25"/>
  <cols>
    <col min="1" max="1" width="24.7109375" style="157" customWidth="1"/>
    <col min="2" max="2" width="22.7109375" style="157" customWidth="1"/>
    <col min="3" max="3" width="13.42578125" style="157" customWidth="1"/>
    <col min="4" max="4" width="9.7109375" style="157" bestFit="1" customWidth="1"/>
    <col min="5" max="5" width="12.7109375" style="157" bestFit="1" customWidth="1"/>
    <col min="6" max="6" width="11.28515625" style="157" bestFit="1" customWidth="1"/>
    <col min="7" max="7" width="16.5703125" style="157" bestFit="1" customWidth="1"/>
    <col min="8" max="8" width="22.42578125" style="157" customWidth="1"/>
    <col min="9" max="10" width="8.42578125" style="157" customWidth="1"/>
    <col min="11" max="15" width="9.140625" style="157"/>
    <col min="16" max="16" width="13.85546875" style="158" customWidth="1"/>
    <col min="17" max="17" width="9.140625" style="158"/>
    <col min="18" max="22" width="9.140625" style="157"/>
    <col min="23" max="23" width="12.42578125" style="157" customWidth="1"/>
    <col min="24" max="24" width="13.28515625" style="157" customWidth="1"/>
    <col min="25" max="16384" width="9.140625" style="157"/>
  </cols>
  <sheetData>
    <row r="1" spans="1:24" customFormat="1" ht="15.75" customHeight="1" thickBot="1" x14ac:dyDescent="0.3">
      <c r="A1" s="357" t="s">
        <v>9</v>
      </c>
      <c r="B1" s="352" t="s">
        <v>148</v>
      </c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4"/>
      <c r="W1" s="352" t="s">
        <v>151</v>
      </c>
      <c r="X1" s="354"/>
    </row>
    <row r="2" spans="1:24" customFormat="1" ht="75.75" thickBot="1" x14ac:dyDescent="0.3">
      <c r="A2" s="358"/>
      <c r="B2" s="67" t="s">
        <v>67</v>
      </c>
      <c r="C2" s="66" t="s">
        <v>60</v>
      </c>
      <c r="D2" s="93" t="s">
        <v>61</v>
      </c>
      <c r="E2" s="46" t="s">
        <v>64</v>
      </c>
      <c r="F2" s="46" t="s">
        <v>65</v>
      </c>
      <c r="G2" s="46" t="s">
        <v>66</v>
      </c>
      <c r="H2" s="56" t="s">
        <v>150</v>
      </c>
      <c r="I2" s="46" t="s">
        <v>69</v>
      </c>
      <c r="J2" s="46" t="s">
        <v>162</v>
      </c>
      <c r="K2" s="107" t="s">
        <v>70</v>
      </c>
      <c r="L2" s="46" t="s">
        <v>71</v>
      </c>
      <c r="M2" s="107" t="s">
        <v>72</v>
      </c>
      <c r="N2" s="46" t="s">
        <v>73</v>
      </c>
      <c r="O2" s="46" t="s">
        <v>74</v>
      </c>
      <c r="P2" s="46" t="s">
        <v>75</v>
      </c>
      <c r="Q2" s="46" t="s">
        <v>76</v>
      </c>
      <c r="R2" s="46" t="s">
        <v>77</v>
      </c>
      <c r="S2" s="46" t="s">
        <v>78</v>
      </c>
      <c r="T2" s="107" t="s">
        <v>79</v>
      </c>
      <c r="U2" s="46" t="s">
        <v>45</v>
      </c>
      <c r="V2" s="46" t="s">
        <v>87</v>
      </c>
      <c r="W2" s="153" t="s">
        <v>161</v>
      </c>
      <c r="X2" s="56" t="s">
        <v>91</v>
      </c>
    </row>
    <row r="3" spans="1:24" customFormat="1" ht="15.75" customHeight="1" x14ac:dyDescent="0.25">
      <c r="A3" s="82" t="s">
        <v>5</v>
      </c>
      <c r="B3" s="86">
        <v>1</v>
      </c>
      <c r="C3" s="87"/>
      <c r="D3" s="88"/>
      <c r="E3" s="104">
        <f>База!S4</f>
        <v>7</v>
      </c>
      <c r="F3" s="108">
        <f>База!T4</f>
        <v>7</v>
      </c>
      <c r="G3" s="88">
        <f>База!U4</f>
        <v>0</v>
      </c>
      <c r="H3" s="88">
        <f>База!W4</f>
        <v>1</v>
      </c>
      <c r="I3" s="108">
        <v>8</v>
      </c>
      <c r="J3" s="108"/>
      <c r="K3" s="108">
        <v>3</v>
      </c>
      <c r="L3" s="108"/>
      <c r="M3" s="108"/>
      <c r="N3" s="108"/>
      <c r="O3" s="108"/>
      <c r="P3" s="108"/>
      <c r="Q3" s="108"/>
      <c r="R3" s="108"/>
      <c r="S3" s="108"/>
      <c r="T3" s="108"/>
      <c r="U3" s="108">
        <f>Провиант!B3</f>
        <v>3</v>
      </c>
      <c r="V3" s="204">
        <f>Провиант!C3</f>
        <v>3</v>
      </c>
      <c r="W3" s="211">
        <f>SUMPRODUCT(E3:V3,$E$12:$V$12)</f>
        <v>359980</v>
      </c>
      <c r="X3" s="214">
        <f>$B$24/W3</f>
        <v>16.261436206091311</v>
      </c>
    </row>
    <row r="4" spans="1:24" customFormat="1" x14ac:dyDescent="0.25">
      <c r="A4" s="83" t="s">
        <v>0</v>
      </c>
      <c r="B4" s="8">
        <v>3</v>
      </c>
      <c r="C4" s="1"/>
      <c r="D4" s="89"/>
      <c r="E4" s="75">
        <f>База!S5</f>
        <v>10</v>
      </c>
      <c r="F4" s="74">
        <f>База!T5</f>
        <v>13</v>
      </c>
      <c r="G4" s="89">
        <f>База!U5</f>
        <v>5</v>
      </c>
      <c r="H4" s="74">
        <f>База!W5</f>
        <v>4</v>
      </c>
      <c r="I4" s="74">
        <v>14</v>
      </c>
      <c r="J4" s="74"/>
      <c r="K4" s="74">
        <v>10</v>
      </c>
      <c r="L4" s="74">
        <v>2</v>
      </c>
      <c r="M4" s="74">
        <v>5</v>
      </c>
      <c r="N4" s="74"/>
      <c r="O4" s="74"/>
      <c r="P4" s="74"/>
      <c r="Q4" s="74"/>
      <c r="R4" s="74"/>
      <c r="S4" s="74"/>
      <c r="T4" s="74"/>
      <c r="U4" s="208">
        <f>Провиант!B4</f>
        <v>5</v>
      </c>
      <c r="V4" s="205">
        <f>Провиант!C4</f>
        <v>10</v>
      </c>
      <c r="W4" s="212">
        <f t="shared" ref="W4:W11" si="0">SUMPRODUCT(E4:V4,$E$12:$V$12)</f>
        <v>801470</v>
      </c>
      <c r="X4" s="216">
        <f t="shared" ref="X4:X11" si="1">$B$24/W4</f>
        <v>7.3038189894428367</v>
      </c>
    </row>
    <row r="5" spans="1:24" customFormat="1" x14ac:dyDescent="0.25">
      <c r="A5" s="84" t="s">
        <v>4</v>
      </c>
      <c r="B5" s="6">
        <v>2</v>
      </c>
      <c r="C5" s="2">
        <v>1</v>
      </c>
      <c r="D5" s="90"/>
      <c r="E5" s="77">
        <f>База!S6</f>
        <v>15</v>
      </c>
      <c r="F5" s="73">
        <f>База!T6</f>
        <v>7</v>
      </c>
      <c r="G5" s="90">
        <f>База!U6</f>
        <v>12</v>
      </c>
      <c r="H5" s="73">
        <f>База!W6</f>
        <v>5</v>
      </c>
      <c r="I5" s="73">
        <v>16</v>
      </c>
      <c r="J5" s="73"/>
      <c r="K5" s="73">
        <v>7</v>
      </c>
      <c r="L5" s="73"/>
      <c r="M5" s="73">
        <v>7</v>
      </c>
      <c r="N5" s="73"/>
      <c r="O5" s="73"/>
      <c r="P5" s="73"/>
      <c r="Q5" s="73"/>
      <c r="R5" s="73"/>
      <c r="S5" s="73"/>
      <c r="T5" s="73"/>
      <c r="U5" s="209">
        <f>Провиант!B5</f>
        <v>8</v>
      </c>
      <c r="V5" s="206">
        <f>Провиант!C5</f>
        <v>8</v>
      </c>
      <c r="W5" s="211">
        <f t="shared" si="0"/>
        <v>964610</v>
      </c>
      <c r="X5" s="214">
        <f t="shared" si="1"/>
        <v>6.0685580757702597</v>
      </c>
    </row>
    <row r="6" spans="1:24" customFormat="1" x14ac:dyDescent="0.25">
      <c r="A6" s="83" t="s">
        <v>1</v>
      </c>
      <c r="B6" s="8">
        <v>3</v>
      </c>
      <c r="C6" s="1"/>
      <c r="D6" s="89"/>
      <c r="E6" s="75">
        <f>База!S7</f>
        <v>12</v>
      </c>
      <c r="F6" s="74">
        <f>База!T7</f>
        <v>9</v>
      </c>
      <c r="G6" s="89">
        <f>База!U7</f>
        <v>3</v>
      </c>
      <c r="H6" s="74">
        <f>База!W7</f>
        <v>2</v>
      </c>
      <c r="I6" s="74">
        <v>16</v>
      </c>
      <c r="J6" s="74"/>
      <c r="K6" s="74">
        <v>5</v>
      </c>
      <c r="L6" s="74"/>
      <c r="M6" s="74">
        <v>2</v>
      </c>
      <c r="N6" s="74"/>
      <c r="O6" s="74"/>
      <c r="P6" s="74"/>
      <c r="Q6" s="74"/>
      <c r="R6" s="74"/>
      <c r="S6" s="74"/>
      <c r="T6" s="74"/>
      <c r="U6" s="208">
        <f>Провиант!B6</f>
        <v>5</v>
      </c>
      <c r="V6" s="205">
        <f>Провиант!C6</f>
        <v>20</v>
      </c>
      <c r="W6" s="212">
        <f t="shared" si="0"/>
        <v>826000</v>
      </c>
      <c r="X6" s="216">
        <f t="shared" si="1"/>
        <v>7.0869150187273009</v>
      </c>
    </row>
    <row r="7" spans="1:24" customFormat="1" ht="30" x14ac:dyDescent="0.25">
      <c r="A7" s="84" t="s">
        <v>7</v>
      </c>
      <c r="B7" s="6">
        <v>3</v>
      </c>
      <c r="C7" s="2">
        <v>1</v>
      </c>
      <c r="D7" s="90"/>
      <c r="E7" s="77">
        <f>База!S8</f>
        <v>23</v>
      </c>
      <c r="F7" s="73">
        <f>База!T8</f>
        <v>12</v>
      </c>
      <c r="G7" s="90">
        <f>База!U8</f>
        <v>9</v>
      </c>
      <c r="H7" s="73">
        <f>База!W8</f>
        <v>5</v>
      </c>
      <c r="I7" s="73">
        <v>29</v>
      </c>
      <c r="J7" s="73"/>
      <c r="K7" s="73">
        <v>7</v>
      </c>
      <c r="L7" s="73"/>
      <c r="M7" s="73">
        <v>7</v>
      </c>
      <c r="N7" s="73"/>
      <c r="O7" s="73"/>
      <c r="P7" s="73"/>
      <c r="Q7" s="73"/>
      <c r="R7" s="73"/>
      <c r="S7" s="73"/>
      <c r="T7" s="73"/>
      <c r="U7" s="209">
        <f>Провиант!B7</f>
        <v>10</v>
      </c>
      <c r="V7" s="206">
        <f>Провиант!C7</f>
        <v>15</v>
      </c>
      <c r="W7" s="211">
        <f t="shared" si="0"/>
        <v>1280970</v>
      </c>
      <c r="X7" s="214">
        <f t="shared" si="1"/>
        <v>4.5698117875272253</v>
      </c>
    </row>
    <row r="8" spans="1:24" customFormat="1" x14ac:dyDescent="0.25">
      <c r="A8" s="83" t="s">
        <v>2</v>
      </c>
      <c r="B8" s="8">
        <v>1</v>
      </c>
      <c r="C8" s="1">
        <v>2</v>
      </c>
      <c r="D8" s="89"/>
      <c r="E8" s="75">
        <f>База!S9</f>
        <v>20</v>
      </c>
      <c r="F8" s="74">
        <f>База!T9</f>
        <v>14</v>
      </c>
      <c r="G8" s="89">
        <f>База!U9</f>
        <v>0</v>
      </c>
      <c r="H8" s="74">
        <f>База!W9</f>
        <v>6</v>
      </c>
      <c r="I8" s="74">
        <v>26</v>
      </c>
      <c r="J8" s="74"/>
      <c r="K8" s="74">
        <v>6</v>
      </c>
      <c r="L8" s="74"/>
      <c r="M8" s="74">
        <v>3</v>
      </c>
      <c r="N8" s="74"/>
      <c r="O8" s="74"/>
      <c r="P8" s="74"/>
      <c r="Q8" s="74"/>
      <c r="R8" s="74"/>
      <c r="S8" s="74"/>
      <c r="T8" s="74"/>
      <c r="U8" s="208">
        <f>Провиант!B8</f>
        <v>8</v>
      </c>
      <c r="V8" s="205">
        <f>Провиант!C8</f>
        <v>23</v>
      </c>
      <c r="W8" s="212">
        <f t="shared" si="0"/>
        <v>1169230</v>
      </c>
      <c r="X8" s="216">
        <f t="shared" si="1"/>
        <v>5.006535758977062</v>
      </c>
    </row>
    <row r="9" spans="1:24" customFormat="1" x14ac:dyDescent="0.25">
      <c r="A9" s="84" t="s">
        <v>6</v>
      </c>
      <c r="B9" s="6">
        <v>2</v>
      </c>
      <c r="C9" s="2"/>
      <c r="D9" s="90"/>
      <c r="E9" s="77">
        <f>База!S10</f>
        <v>6</v>
      </c>
      <c r="F9" s="73">
        <f>База!T10</f>
        <v>6</v>
      </c>
      <c r="G9" s="90">
        <f>База!U10</f>
        <v>0</v>
      </c>
      <c r="H9" s="73">
        <f>База!W10</f>
        <v>1</v>
      </c>
      <c r="I9" s="73">
        <v>6</v>
      </c>
      <c r="J9" s="73"/>
      <c r="K9" s="73">
        <v>2</v>
      </c>
      <c r="L9" s="73"/>
      <c r="M9" s="73"/>
      <c r="N9" s="73"/>
      <c r="O9" s="73"/>
      <c r="P9" s="73"/>
      <c r="Q9" s="73"/>
      <c r="R9" s="73"/>
      <c r="S9" s="73"/>
      <c r="T9" s="73"/>
      <c r="U9" s="209">
        <f>Провиант!B9</f>
        <v>4</v>
      </c>
      <c r="V9" s="206">
        <f>Провиант!C9</f>
        <v>4</v>
      </c>
      <c r="W9" s="211">
        <f t="shared" si="0"/>
        <v>339730</v>
      </c>
      <c r="X9" s="214">
        <f t="shared" si="1"/>
        <v>17.230717939153887</v>
      </c>
    </row>
    <row r="10" spans="1:24" customFormat="1" x14ac:dyDescent="0.25">
      <c r="A10" s="83" t="s">
        <v>8</v>
      </c>
      <c r="B10" s="8">
        <v>1</v>
      </c>
      <c r="C10" s="1"/>
      <c r="D10" s="89"/>
      <c r="E10" s="75">
        <f>База!S11</f>
        <v>3</v>
      </c>
      <c r="F10" s="74">
        <f>База!T11</f>
        <v>2</v>
      </c>
      <c r="G10" s="89">
        <f>База!U11</f>
        <v>0</v>
      </c>
      <c r="H10" s="74">
        <f>База!W11</f>
        <v>0</v>
      </c>
      <c r="I10" s="74">
        <v>4</v>
      </c>
      <c r="J10" s="74"/>
      <c r="K10" s="74">
        <v>4</v>
      </c>
      <c r="L10" s="74"/>
      <c r="M10" s="74">
        <v>2</v>
      </c>
      <c r="N10" s="74"/>
      <c r="O10" s="74"/>
      <c r="P10" s="74"/>
      <c r="Q10" s="74"/>
      <c r="R10" s="74"/>
      <c r="S10" s="74"/>
      <c r="T10" s="74"/>
      <c r="U10" s="208">
        <f>Провиант!B10</f>
        <v>3</v>
      </c>
      <c r="V10" s="205">
        <f>Провиант!C10</f>
        <v>7</v>
      </c>
      <c r="W10" s="212">
        <f t="shared" si="0"/>
        <v>241100</v>
      </c>
      <c r="X10" s="216">
        <f t="shared" si="1"/>
        <v>24.279518064988594</v>
      </c>
    </row>
    <row r="11" spans="1:24" customFormat="1" ht="15.75" thickBot="1" x14ac:dyDescent="0.3">
      <c r="A11" s="85" t="s">
        <v>3</v>
      </c>
      <c r="B11" s="10">
        <v>1</v>
      </c>
      <c r="C11" s="11"/>
      <c r="D11" s="91"/>
      <c r="E11" s="78">
        <f>База!S12</f>
        <v>4</v>
      </c>
      <c r="F11" s="81">
        <f>База!T12</f>
        <v>1</v>
      </c>
      <c r="G11" s="91">
        <f>База!U12</f>
        <v>1</v>
      </c>
      <c r="H11" s="91">
        <f>База!W12</f>
        <v>0</v>
      </c>
      <c r="I11" s="81">
        <v>4</v>
      </c>
      <c r="J11" s="81"/>
      <c r="K11" s="81">
        <v>5</v>
      </c>
      <c r="L11" s="81"/>
      <c r="M11" s="81">
        <v>1</v>
      </c>
      <c r="N11" s="81"/>
      <c r="O11" s="81"/>
      <c r="P11" s="81"/>
      <c r="Q11" s="81"/>
      <c r="R11" s="81"/>
      <c r="S11" s="81"/>
      <c r="T11" s="81"/>
      <c r="U11" s="210">
        <f>Провиант!B11</f>
        <v>15</v>
      </c>
      <c r="V11" s="207">
        <f>Провиант!C11</f>
        <v>20</v>
      </c>
      <c r="W11" s="213">
        <f t="shared" si="0"/>
        <v>561830</v>
      </c>
      <c r="X11" s="215">
        <f t="shared" si="1"/>
        <v>10.41915135444663</v>
      </c>
    </row>
    <row r="12" spans="1:24" customFormat="1" x14ac:dyDescent="0.25">
      <c r="A12" s="118" t="s">
        <v>149</v>
      </c>
      <c r="B12" s="118">
        <v>750</v>
      </c>
      <c r="C12" s="118">
        <v>150</v>
      </c>
      <c r="D12" s="118">
        <v>2000</v>
      </c>
      <c r="E12" s="118">
        <v>22500</v>
      </c>
      <c r="F12" s="118">
        <v>13250</v>
      </c>
      <c r="G12" s="118">
        <v>17630</v>
      </c>
      <c r="H12" s="120">
        <v>16230</v>
      </c>
      <c r="I12" s="118">
        <v>1000</v>
      </c>
      <c r="J12" s="118">
        <v>14300</v>
      </c>
      <c r="K12" s="118">
        <v>5500</v>
      </c>
      <c r="L12" s="118">
        <v>450</v>
      </c>
      <c r="M12" s="118">
        <v>450</v>
      </c>
      <c r="N12" s="118">
        <v>900</v>
      </c>
      <c r="O12" s="118">
        <v>8500</v>
      </c>
      <c r="P12" s="118">
        <v>1000</v>
      </c>
      <c r="Q12" s="118">
        <v>500</v>
      </c>
      <c r="R12" s="118">
        <v>1500</v>
      </c>
      <c r="S12" s="118">
        <v>2000</v>
      </c>
      <c r="T12" s="118">
        <v>100</v>
      </c>
      <c r="U12" s="118">
        <v>10200</v>
      </c>
      <c r="V12" s="118">
        <v>12800</v>
      </c>
      <c r="W12" s="51"/>
      <c r="X12" s="92"/>
    </row>
    <row r="15" spans="1:24" ht="15.75" thickBot="1" x14ac:dyDescent="0.3"/>
    <row r="16" spans="1:24" ht="15.75" thickBot="1" x14ac:dyDescent="0.3">
      <c r="A16" s="154" t="s">
        <v>114</v>
      </c>
      <c r="B16" s="155"/>
      <c r="C16" s="156"/>
    </row>
    <row r="17" spans="1:20" ht="15.75" thickBot="1" x14ac:dyDescent="0.3"/>
    <row r="18" spans="1:20" ht="45.75" thickBot="1" x14ac:dyDescent="0.3">
      <c r="A18" s="159" t="s">
        <v>115</v>
      </c>
      <c r="B18" s="159" t="s">
        <v>116</v>
      </c>
      <c r="C18" s="217" t="s">
        <v>117</v>
      </c>
      <c r="F18" s="367" t="s">
        <v>118</v>
      </c>
      <c r="G18" s="368"/>
      <c r="H18" s="158"/>
      <c r="I18" s="158"/>
      <c r="J18" s="158"/>
      <c r="K18" s="158"/>
      <c r="L18" s="158"/>
    </row>
    <row r="19" spans="1:20" ht="15.75" thickBot="1" x14ac:dyDescent="0.3">
      <c r="A19" s="160">
        <v>0.25</v>
      </c>
      <c r="B19" s="161">
        <f>1-((B38+B39+B40)/($T$20+B38+B39+B40))</f>
        <v>0.78125</v>
      </c>
      <c r="C19" s="218">
        <v>7.4999999999999997E-2</v>
      </c>
      <c r="E19" s="158"/>
      <c r="F19" s="162" t="s">
        <v>119</v>
      </c>
      <c r="G19" s="163" t="s">
        <v>120</v>
      </c>
      <c r="H19" s="158"/>
      <c r="I19" s="158"/>
      <c r="J19" s="158"/>
      <c r="K19" s="158"/>
      <c r="L19" s="158"/>
      <c r="P19" s="164" t="s">
        <v>121</v>
      </c>
      <c r="Q19" s="164" t="s">
        <v>116</v>
      </c>
    </row>
    <row r="20" spans="1:20" ht="15.75" thickBot="1" x14ac:dyDescent="0.3">
      <c r="A20" s="158"/>
      <c r="B20" s="158"/>
      <c r="C20" s="158"/>
      <c r="E20" s="158"/>
      <c r="F20" s="165">
        <v>0.05</v>
      </c>
      <c r="G20" s="166">
        <f>B29*F20</f>
        <v>3784269.45</v>
      </c>
      <c r="H20" s="158"/>
      <c r="I20" s="158"/>
      <c r="J20" s="158"/>
      <c r="K20" s="158"/>
      <c r="L20" s="158"/>
      <c r="P20" s="158">
        <v>1</v>
      </c>
      <c r="Q20" s="167">
        <f>1-(P20/($T$20+P20))</f>
        <v>0.99009900990099009</v>
      </c>
      <c r="T20" s="157">
        <v>100</v>
      </c>
    </row>
    <row r="21" spans="1:20" ht="15.75" thickBot="1" x14ac:dyDescent="0.3">
      <c r="A21" s="158"/>
      <c r="B21" s="158"/>
      <c r="C21" s="158"/>
      <c r="E21" s="158"/>
      <c r="F21" s="158"/>
      <c r="G21" s="158"/>
      <c r="H21" s="158"/>
      <c r="I21" s="158"/>
      <c r="J21" s="158"/>
      <c r="K21" s="158"/>
      <c r="L21" s="158"/>
      <c r="P21" s="158">
        <v>2</v>
      </c>
      <c r="Q21" s="167">
        <f t="shared" ref="Q21:Q84" si="2">1-(P21/($T$20+P21))</f>
        <v>0.98039215686274506</v>
      </c>
    </row>
    <row r="22" spans="1:20" ht="16.5" customHeight="1" thickBot="1" x14ac:dyDescent="0.3">
      <c r="A22" s="369" t="s">
        <v>122</v>
      </c>
      <c r="B22" s="370"/>
      <c r="C22" s="158"/>
      <c r="E22" s="158"/>
      <c r="F22" s="158"/>
      <c r="G22" s="158"/>
      <c r="H22" s="158"/>
      <c r="I22" s="158"/>
      <c r="J22" s="158"/>
      <c r="K22" s="158"/>
      <c r="L22" s="158"/>
      <c r="P22" s="158">
        <v>3</v>
      </c>
      <c r="Q22" s="167">
        <f t="shared" si="2"/>
        <v>0.970873786407767</v>
      </c>
    </row>
    <row r="23" spans="1:20" ht="15.75" thickBot="1" x14ac:dyDescent="0.3">
      <c r="A23" s="168" t="s">
        <v>119</v>
      </c>
      <c r="B23" s="169" t="s">
        <v>120</v>
      </c>
      <c r="C23" s="158"/>
      <c r="E23" s="158"/>
      <c r="F23" s="158"/>
      <c r="G23" s="158"/>
      <c r="H23" s="158"/>
      <c r="I23" s="158"/>
      <c r="J23" s="158"/>
      <c r="K23" s="158"/>
      <c r="L23" s="158"/>
      <c r="P23" s="158">
        <v>4</v>
      </c>
      <c r="Q23" s="167">
        <f t="shared" si="2"/>
        <v>0.96153846153846156</v>
      </c>
    </row>
    <row r="24" spans="1:20" ht="15.75" thickBot="1" x14ac:dyDescent="0.3">
      <c r="A24" s="170">
        <f>C19*(B19+A19)</f>
        <v>7.7343750000000003E-2</v>
      </c>
      <c r="B24" s="171">
        <f>$B$29*A24</f>
        <v>5853791.8054687502</v>
      </c>
      <c r="C24" s="172" t="s">
        <v>123</v>
      </c>
      <c r="E24" s="158"/>
      <c r="F24" s="158"/>
      <c r="G24" s="158"/>
      <c r="H24" s="158"/>
      <c r="I24" s="158"/>
      <c r="J24" s="158"/>
      <c r="K24" s="158"/>
      <c r="L24" s="158"/>
      <c r="P24" s="158">
        <v>5</v>
      </c>
      <c r="Q24" s="167">
        <f t="shared" si="2"/>
        <v>0.95238095238095233</v>
      </c>
    </row>
    <row r="25" spans="1:20" ht="15.75" thickBot="1" x14ac:dyDescent="0.3">
      <c r="A25" s="170">
        <f>C19*(B19+A19)/(0.7+$F$20)</f>
        <v>0.10312500000000001</v>
      </c>
      <c r="B25" s="171">
        <f>$B$29*A25</f>
        <v>7805055.7406250006</v>
      </c>
      <c r="C25" s="172" t="s">
        <v>124</v>
      </c>
      <c r="E25" s="158"/>
      <c r="F25" s="158"/>
      <c r="G25" s="158"/>
      <c r="H25" s="158"/>
      <c r="I25" s="158"/>
      <c r="J25" s="158"/>
      <c r="K25" s="158"/>
      <c r="L25" s="158"/>
      <c r="P25" s="158">
        <v>6</v>
      </c>
      <c r="Q25" s="167">
        <f t="shared" si="2"/>
        <v>0.94339622641509435</v>
      </c>
    </row>
    <row r="26" spans="1:20" x14ac:dyDescent="0.25">
      <c r="A26" s="158"/>
      <c r="B26" s="158"/>
      <c r="C26" s="172" t="s">
        <v>125</v>
      </c>
      <c r="E26" s="158"/>
      <c r="F26" s="158"/>
      <c r="G26" s="158"/>
      <c r="H26" s="158"/>
      <c r="I26" s="158"/>
      <c r="J26" s="158"/>
      <c r="K26" s="158"/>
      <c r="L26" s="158"/>
      <c r="P26" s="158">
        <v>7</v>
      </c>
      <c r="Q26" s="167">
        <f t="shared" si="2"/>
        <v>0.93457943925233644</v>
      </c>
    </row>
    <row r="27" spans="1:20" ht="15.75" thickBot="1" x14ac:dyDescent="0.3">
      <c r="A27" s="158"/>
      <c r="B27" s="158"/>
      <c r="C27" s="172" t="s">
        <v>126</v>
      </c>
      <c r="D27" s="158"/>
      <c r="E27" s="158"/>
      <c r="F27" s="158"/>
      <c r="G27" s="158"/>
      <c r="H27" s="158"/>
      <c r="I27" s="158"/>
      <c r="J27" s="158"/>
      <c r="K27" s="158"/>
      <c r="L27" s="158"/>
      <c r="P27" s="158">
        <v>8</v>
      </c>
      <c r="Q27" s="167">
        <f t="shared" si="2"/>
        <v>0.92592592592592593</v>
      </c>
    </row>
    <row r="28" spans="1:20" ht="16.5" thickBot="1" x14ac:dyDescent="0.3">
      <c r="A28" s="371" t="s">
        <v>127</v>
      </c>
      <c r="B28" s="372"/>
      <c r="C28" s="373"/>
      <c r="D28" s="158"/>
      <c r="E28" s="158"/>
      <c r="F28" s="158"/>
      <c r="G28" s="158"/>
      <c r="H28" s="158"/>
      <c r="I28" s="158"/>
      <c r="J28" s="158"/>
      <c r="K28" s="158"/>
      <c r="L28" s="158"/>
      <c r="P28" s="158">
        <v>9</v>
      </c>
      <c r="Q28" s="167">
        <f t="shared" si="2"/>
        <v>0.91743119266055051</v>
      </c>
    </row>
    <row r="29" spans="1:20" ht="15.75" thickBot="1" x14ac:dyDescent="0.3">
      <c r="A29" s="173" t="s">
        <v>128</v>
      </c>
      <c r="B29" s="174">
        <v>75685389</v>
      </c>
      <c r="C29" s="175">
        <v>1</v>
      </c>
      <c r="D29" s="158"/>
      <c r="E29" s="158"/>
      <c r="F29" s="158"/>
      <c r="G29" s="158"/>
      <c r="H29" s="158"/>
      <c r="P29" s="158">
        <v>10</v>
      </c>
      <c r="Q29" s="167">
        <f t="shared" si="2"/>
        <v>0.90909090909090906</v>
      </c>
    </row>
    <row r="30" spans="1:20" ht="15.75" thickBot="1" x14ac:dyDescent="0.3">
      <c r="A30" s="176" t="s">
        <v>129</v>
      </c>
      <c r="B30" s="177">
        <f>G20</f>
        <v>3784269.45</v>
      </c>
      <c r="C30" s="175">
        <f>F20</f>
        <v>0.05</v>
      </c>
      <c r="D30" s="158"/>
      <c r="E30" s="158"/>
      <c r="F30" s="158"/>
      <c r="G30" s="158"/>
      <c r="H30" s="158"/>
      <c r="P30" s="158">
        <v>11</v>
      </c>
      <c r="Q30" s="167">
        <f t="shared" si="2"/>
        <v>0.90090090090090091</v>
      </c>
    </row>
    <row r="31" spans="1:20" ht="15.75" thickBot="1" x14ac:dyDescent="0.3">
      <c r="A31" s="176" t="s">
        <v>130</v>
      </c>
      <c r="B31" s="177">
        <f>B24</f>
        <v>5853791.8054687502</v>
      </c>
      <c r="C31" s="175">
        <f>A24</f>
        <v>7.7343750000000003E-2</v>
      </c>
      <c r="D31" s="158"/>
      <c r="E31" s="158"/>
      <c r="F31" s="158"/>
      <c r="G31" s="158"/>
      <c r="H31" s="158"/>
      <c r="P31" s="158">
        <v>12</v>
      </c>
      <c r="Q31" s="167">
        <f t="shared" si="2"/>
        <v>0.8928571428571429</v>
      </c>
    </row>
    <row r="32" spans="1:20" ht="15.75" thickBot="1" x14ac:dyDescent="0.3">
      <c r="A32" s="178" t="s">
        <v>131</v>
      </c>
      <c r="B32" s="179">
        <f>B29-B30-B31</f>
        <v>66047327.744531244</v>
      </c>
      <c r="C32" s="180">
        <f>C29-C30-C31</f>
        <v>0.87265624999999991</v>
      </c>
      <c r="D32" s="158"/>
      <c r="E32" s="158"/>
      <c r="F32" s="158"/>
      <c r="G32" s="158"/>
      <c r="H32" s="158"/>
      <c r="I32" s="158"/>
      <c r="J32" s="158"/>
      <c r="K32" s="158"/>
      <c r="L32" s="158"/>
      <c r="P32" s="158">
        <v>13</v>
      </c>
      <c r="Q32" s="167">
        <f t="shared" si="2"/>
        <v>0.88495575221238942</v>
      </c>
    </row>
    <row r="33" spans="1:17" x14ac:dyDescent="0.25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P33" s="158">
        <v>14</v>
      </c>
      <c r="Q33" s="167">
        <f t="shared" si="2"/>
        <v>0.87719298245614041</v>
      </c>
    </row>
    <row r="34" spans="1:17" x14ac:dyDescent="0.25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P34" s="158">
        <v>15</v>
      </c>
      <c r="Q34" s="167">
        <f t="shared" si="2"/>
        <v>0.86956521739130432</v>
      </c>
    </row>
    <row r="35" spans="1:17" ht="15.75" thickBot="1" x14ac:dyDescent="0.3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P35" s="158">
        <v>16</v>
      </c>
      <c r="Q35" s="167">
        <f t="shared" si="2"/>
        <v>0.86206896551724133</v>
      </c>
    </row>
    <row r="36" spans="1:17" ht="15.75" thickBot="1" x14ac:dyDescent="0.3">
      <c r="A36" s="360" t="s">
        <v>132</v>
      </c>
      <c r="B36" s="361"/>
      <c r="E36" s="364" t="s">
        <v>133</v>
      </c>
      <c r="F36" s="365"/>
      <c r="G36" s="366"/>
      <c r="H36" s="158"/>
      <c r="I36" s="158"/>
      <c r="J36" s="158"/>
      <c r="K36" s="158"/>
      <c r="L36" s="158"/>
      <c r="P36" s="158">
        <v>17</v>
      </c>
      <c r="Q36" s="167">
        <f t="shared" si="2"/>
        <v>0.85470085470085466</v>
      </c>
    </row>
    <row r="37" spans="1:17" ht="16.5" thickBot="1" x14ac:dyDescent="0.3">
      <c r="A37" s="362"/>
      <c r="B37" s="363"/>
      <c r="E37" s="181" t="s">
        <v>134</v>
      </c>
      <c r="F37" s="182" t="s">
        <v>135</v>
      </c>
      <c r="G37" s="182" t="s">
        <v>136</v>
      </c>
      <c r="H37" s="182" t="s">
        <v>137</v>
      </c>
      <c r="I37" s="158"/>
      <c r="J37" s="158"/>
      <c r="K37" s="158"/>
      <c r="L37" s="158"/>
      <c r="P37" s="158">
        <v>18</v>
      </c>
      <c r="Q37" s="167">
        <f t="shared" si="2"/>
        <v>0.84745762711864403</v>
      </c>
    </row>
    <row r="38" spans="1:17" ht="15.75" thickBot="1" x14ac:dyDescent="0.3">
      <c r="A38" s="183" t="s">
        <v>138</v>
      </c>
      <c r="B38" s="184">
        <v>10</v>
      </c>
      <c r="C38" s="185"/>
      <c r="D38" s="185"/>
      <c r="E38" s="186">
        <v>30575</v>
      </c>
      <c r="F38" s="187">
        <f>B38*E38</f>
        <v>305750</v>
      </c>
      <c r="G38" s="188">
        <f>F38+F39+F40</f>
        <v>898950</v>
      </c>
      <c r="H38" s="189">
        <f>(B24-G38)/(G38/100)/100+1</f>
        <v>6.5118102291214761</v>
      </c>
      <c r="I38" s="158"/>
      <c r="J38" s="158"/>
      <c r="K38" s="158"/>
      <c r="L38" s="158"/>
      <c r="P38" s="158">
        <v>19</v>
      </c>
      <c r="Q38" s="167">
        <f t="shared" si="2"/>
        <v>0.84033613445378152</v>
      </c>
    </row>
    <row r="39" spans="1:17" ht="15.75" thickBot="1" x14ac:dyDescent="0.3">
      <c r="A39" s="190" t="s">
        <v>139</v>
      </c>
      <c r="B39" s="184">
        <v>13</v>
      </c>
      <c r="C39" s="185"/>
      <c r="D39" s="185"/>
      <c r="E39" s="186">
        <v>35150</v>
      </c>
      <c r="F39" s="187">
        <f>B39*E39</f>
        <v>456950</v>
      </c>
      <c r="G39" s="191"/>
      <c r="H39" s="192"/>
      <c r="I39" s="158"/>
      <c r="J39" s="158"/>
      <c r="K39" s="158"/>
      <c r="L39" s="158"/>
      <c r="P39" s="158">
        <v>20</v>
      </c>
      <c r="Q39" s="167">
        <f t="shared" si="2"/>
        <v>0.83333333333333337</v>
      </c>
    </row>
    <row r="40" spans="1:17" ht="60.75" thickBot="1" x14ac:dyDescent="0.3">
      <c r="A40" s="190" t="s">
        <v>140</v>
      </c>
      <c r="B40" s="184">
        <v>5</v>
      </c>
      <c r="C40" s="193"/>
      <c r="D40" s="185"/>
      <c r="E40" s="186">
        <v>27250</v>
      </c>
      <c r="F40" s="187">
        <f>B40*E40</f>
        <v>136250</v>
      </c>
      <c r="G40" s="191"/>
      <c r="H40" s="194" t="s">
        <v>141</v>
      </c>
      <c r="I40" s="158"/>
      <c r="J40" s="158"/>
      <c r="K40" s="158"/>
      <c r="L40" s="158"/>
      <c r="P40" s="158">
        <v>21</v>
      </c>
      <c r="Q40" s="167">
        <f t="shared" si="2"/>
        <v>0.82644628099173556</v>
      </c>
    </row>
    <row r="41" spans="1:17" ht="45.75" thickBot="1" x14ac:dyDescent="0.3">
      <c r="A41" s="183" t="s">
        <v>142</v>
      </c>
      <c r="B41" s="195">
        <f>(B38+B39+B40)*C41</f>
        <v>9.7999999999999989</v>
      </c>
      <c r="C41" s="196">
        <v>0.35</v>
      </c>
      <c r="D41" s="194" t="s">
        <v>143</v>
      </c>
      <c r="E41" s="158"/>
      <c r="F41" s="158"/>
      <c r="G41" s="158"/>
      <c r="H41" s="158"/>
      <c r="I41" s="158"/>
      <c r="J41" s="158"/>
      <c r="K41" s="158"/>
      <c r="L41" s="158"/>
      <c r="P41" s="158">
        <v>22</v>
      </c>
      <c r="Q41" s="167">
        <f t="shared" si="2"/>
        <v>0.81967213114754101</v>
      </c>
    </row>
    <row r="42" spans="1:17" ht="30.75" thickBot="1" x14ac:dyDescent="0.3">
      <c r="A42" s="197" t="s">
        <v>144</v>
      </c>
      <c r="B42" s="198">
        <f>B38-B41</f>
        <v>0.20000000000000107</v>
      </c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P42" s="158">
        <v>23</v>
      </c>
      <c r="Q42" s="167">
        <f t="shared" si="2"/>
        <v>0.81300813008130079</v>
      </c>
    </row>
    <row r="43" spans="1:17" x14ac:dyDescent="0.25"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P43" s="158">
        <v>24</v>
      </c>
      <c r="Q43" s="167">
        <f t="shared" si="2"/>
        <v>0.80645161290322576</v>
      </c>
    </row>
    <row r="44" spans="1:17" x14ac:dyDescent="0.25">
      <c r="A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P44" s="158">
        <v>25</v>
      </c>
      <c r="Q44" s="167">
        <f t="shared" si="2"/>
        <v>0.8</v>
      </c>
    </row>
    <row r="45" spans="1:17" x14ac:dyDescent="0.25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P45" s="158">
        <v>26</v>
      </c>
      <c r="Q45" s="167">
        <f t="shared" si="2"/>
        <v>0.79365079365079372</v>
      </c>
    </row>
    <row r="46" spans="1:17" x14ac:dyDescent="0.25">
      <c r="P46" s="158">
        <v>27</v>
      </c>
      <c r="Q46" s="167">
        <f t="shared" si="2"/>
        <v>0.78740157480314954</v>
      </c>
    </row>
    <row r="47" spans="1:17" ht="15.75" thickBot="1" x14ac:dyDescent="0.3">
      <c r="P47" s="158">
        <v>28</v>
      </c>
      <c r="Q47" s="167">
        <f t="shared" si="2"/>
        <v>0.78125</v>
      </c>
    </row>
    <row r="48" spans="1:17" ht="15.75" customHeight="1" thickBot="1" x14ac:dyDescent="0.3">
      <c r="A48" s="199" t="s">
        <v>145</v>
      </c>
      <c r="B48" s="189">
        <f>1-B49/B50</f>
        <v>0.8464328712271284</v>
      </c>
      <c r="D48" s="181" t="s">
        <v>146</v>
      </c>
      <c r="E48" s="200" t="s">
        <v>147</v>
      </c>
      <c r="P48" s="158">
        <v>29</v>
      </c>
      <c r="Q48" s="167">
        <f t="shared" si="2"/>
        <v>0.77519379844961245</v>
      </c>
    </row>
    <row r="49" spans="1:17" ht="32.25" thickBot="1" x14ac:dyDescent="0.3">
      <c r="A49" s="199" t="s">
        <v>133</v>
      </c>
      <c r="B49" s="187">
        <f>G38</f>
        <v>898950</v>
      </c>
      <c r="D49" s="201">
        <v>0.9</v>
      </c>
      <c r="E49" s="202" cm="1">
        <f t="array" ref="E49">_xlfn.IFS(D49&lt;=0.1,6,D49&lt;=0.2,5,D49&lt;=0.3,4,D49&lt;=0.5,3,D49&lt;=0.7,2,D49&lt;=0.9,1)</f>
        <v>1</v>
      </c>
      <c r="P49" s="158">
        <v>30</v>
      </c>
      <c r="Q49" s="167">
        <f t="shared" si="2"/>
        <v>0.76923076923076916</v>
      </c>
    </row>
    <row r="50" spans="1:17" ht="32.25" thickBot="1" x14ac:dyDescent="0.3">
      <c r="A50" s="199" t="s">
        <v>122</v>
      </c>
      <c r="B50" s="187">
        <f>B24</f>
        <v>5853791.8054687502</v>
      </c>
      <c r="D50" s="189">
        <f>1-B48*D49</f>
        <v>0.23821041589558445</v>
      </c>
      <c r="E50" s="187">
        <f>B50*D50</f>
        <v>1394434.1805468751</v>
      </c>
      <c r="P50" s="158">
        <v>31</v>
      </c>
      <c r="Q50" s="167">
        <f t="shared" si="2"/>
        <v>0.76335877862595414</v>
      </c>
    </row>
    <row r="51" spans="1:17" x14ac:dyDescent="0.25">
      <c r="A51" s="203"/>
      <c r="P51" s="158">
        <v>32</v>
      </c>
      <c r="Q51" s="167">
        <f t="shared" si="2"/>
        <v>0.75757575757575757</v>
      </c>
    </row>
    <row r="52" spans="1:17" x14ac:dyDescent="0.25">
      <c r="P52" s="158">
        <v>33</v>
      </c>
      <c r="Q52" s="167">
        <f t="shared" si="2"/>
        <v>0.75187969924812026</v>
      </c>
    </row>
    <row r="53" spans="1:17" x14ac:dyDescent="0.25">
      <c r="P53" s="158">
        <v>34</v>
      </c>
      <c r="Q53" s="167">
        <f t="shared" si="2"/>
        <v>0.74626865671641784</v>
      </c>
    </row>
    <row r="54" spans="1:17" x14ac:dyDescent="0.25">
      <c r="P54" s="158">
        <v>35</v>
      </c>
      <c r="Q54" s="167">
        <f t="shared" si="2"/>
        <v>0.7407407407407407</v>
      </c>
    </row>
    <row r="55" spans="1:17" x14ac:dyDescent="0.25">
      <c r="A55" s="222" t="s">
        <v>157</v>
      </c>
      <c r="B55" s="223">
        <v>75777</v>
      </c>
      <c r="C55" s="224"/>
      <c r="D55" s="224"/>
      <c r="E55" s="224"/>
      <c r="F55" s="224"/>
      <c r="P55" s="158">
        <v>36</v>
      </c>
      <c r="Q55" s="167">
        <f t="shared" si="2"/>
        <v>0.73529411764705888</v>
      </c>
    </row>
    <row r="56" spans="1:17" x14ac:dyDescent="0.25">
      <c r="A56" s="224" t="s">
        <v>155</v>
      </c>
      <c r="B56" s="225">
        <f>F56/C56</f>
        <v>9.8510100000000005</v>
      </c>
      <c r="C56" s="219">
        <f>ABS((B60-B59)*100/C57)</f>
        <v>307.69230769230768</v>
      </c>
      <c r="D56" s="226"/>
      <c r="E56" s="227">
        <f>B56*C56</f>
        <v>3031.08</v>
      </c>
      <c r="F56" s="227">
        <f>(B60-B59)*B55</f>
        <v>3031.08</v>
      </c>
      <c r="P56" s="158">
        <v>37</v>
      </c>
      <c r="Q56" s="167">
        <f t="shared" si="2"/>
        <v>0.72992700729927007</v>
      </c>
    </row>
    <row r="57" spans="1:17" x14ac:dyDescent="0.25">
      <c r="A57" s="164" t="s">
        <v>152</v>
      </c>
      <c r="B57" s="224">
        <v>0.01</v>
      </c>
      <c r="C57" s="224">
        <f>B57+B57*B58</f>
        <v>1.3000000000000001E-2</v>
      </c>
      <c r="D57" s="224"/>
      <c r="E57" s="224"/>
      <c r="F57" s="224"/>
      <c r="P57" s="158">
        <v>38</v>
      </c>
      <c r="Q57" s="167">
        <f t="shared" si="2"/>
        <v>0.72463768115942029</v>
      </c>
    </row>
    <row r="58" spans="1:17" x14ac:dyDescent="0.25">
      <c r="A58" s="164" t="s">
        <v>154</v>
      </c>
      <c r="B58" s="224">
        <v>0.3</v>
      </c>
      <c r="C58" s="224"/>
      <c r="D58" s="224"/>
      <c r="E58" s="224"/>
      <c r="F58" s="224"/>
      <c r="P58" s="158">
        <v>39</v>
      </c>
      <c r="Q58" s="167">
        <f t="shared" si="2"/>
        <v>0.71942446043165464</v>
      </c>
    </row>
    <row r="59" spans="1:17" x14ac:dyDescent="0.25">
      <c r="A59" s="164" t="s">
        <v>156</v>
      </c>
      <c r="B59" s="228">
        <v>0.01</v>
      </c>
      <c r="C59" s="226"/>
      <c r="E59" s="229">
        <f>C57*E56/100</f>
        <v>0.39404040000000001</v>
      </c>
      <c r="F59" s="230">
        <f>E56*0.01</f>
        <v>30.3108</v>
      </c>
      <c r="P59" s="158">
        <v>40</v>
      </c>
      <c r="Q59" s="167">
        <f t="shared" si="2"/>
        <v>0.7142857142857143</v>
      </c>
    </row>
    <row r="60" spans="1:17" x14ac:dyDescent="0.25">
      <c r="A60" s="164" t="s">
        <v>153</v>
      </c>
      <c r="B60" s="228">
        <v>0.05</v>
      </c>
      <c r="C60" s="226"/>
      <c r="D60" s="224"/>
      <c r="E60" s="220"/>
      <c r="F60" s="224"/>
      <c r="P60" s="158">
        <v>41</v>
      </c>
      <c r="Q60" s="167">
        <f t="shared" si="2"/>
        <v>0.70921985815602839</v>
      </c>
    </row>
    <row r="61" spans="1:17" x14ac:dyDescent="0.25">
      <c r="A61" s="224"/>
      <c r="B61" s="224"/>
      <c r="C61" s="224"/>
      <c r="D61" s="224"/>
      <c r="E61" s="224"/>
      <c r="F61" s="224"/>
      <c r="P61" s="158">
        <v>42</v>
      </c>
      <c r="Q61" s="167">
        <f t="shared" si="2"/>
        <v>0.70422535211267601</v>
      </c>
    </row>
    <row r="62" spans="1:17" x14ac:dyDescent="0.25">
      <c r="A62" s="224"/>
      <c r="B62" s="228">
        <f>B55*C57/100</f>
        <v>9.8510100000000005</v>
      </c>
      <c r="C62" s="224"/>
      <c r="D62" s="224"/>
      <c r="E62" s="224"/>
      <c r="F62" s="224"/>
      <c r="P62" s="158">
        <v>43</v>
      </c>
      <c r="Q62" s="167">
        <f t="shared" si="2"/>
        <v>0.69930069930069938</v>
      </c>
    </row>
    <row r="63" spans="1:17" x14ac:dyDescent="0.25">
      <c r="P63" s="158">
        <v>44</v>
      </c>
      <c r="Q63" s="167">
        <f t="shared" si="2"/>
        <v>0.69444444444444442</v>
      </c>
    </row>
    <row r="64" spans="1:17" x14ac:dyDescent="0.25">
      <c r="P64" s="158">
        <v>45</v>
      </c>
      <c r="Q64" s="167">
        <f t="shared" si="2"/>
        <v>0.68965517241379315</v>
      </c>
    </row>
    <row r="65" spans="1:17" x14ac:dyDescent="0.25">
      <c r="P65" s="158">
        <v>46</v>
      </c>
      <c r="Q65" s="167">
        <f t="shared" si="2"/>
        <v>0.68493150684931514</v>
      </c>
    </row>
    <row r="66" spans="1:17" x14ac:dyDescent="0.25">
      <c r="A66" s="222" t="s">
        <v>157</v>
      </c>
      <c r="B66" s="231">
        <v>75777</v>
      </c>
      <c r="P66" s="158">
        <v>47</v>
      </c>
      <c r="Q66" s="167">
        <f t="shared" si="2"/>
        <v>0.68027210884353739</v>
      </c>
    </row>
    <row r="67" spans="1:17" x14ac:dyDescent="0.25">
      <c r="A67" s="157" t="s">
        <v>158</v>
      </c>
      <c r="B67" s="227">
        <f>E12*2/1000</f>
        <v>45</v>
      </c>
      <c r="P67" s="158">
        <v>48</v>
      </c>
      <c r="Q67" s="167">
        <f t="shared" si="2"/>
        <v>0.67567567567567566</v>
      </c>
    </row>
    <row r="68" spans="1:17" x14ac:dyDescent="0.25">
      <c r="A68" s="164" t="s">
        <v>156</v>
      </c>
      <c r="B68" s="228">
        <v>0.01</v>
      </c>
      <c r="P68" s="158">
        <v>49</v>
      </c>
      <c r="Q68" s="167">
        <f t="shared" si="2"/>
        <v>0.67114093959731536</v>
      </c>
    </row>
    <row r="69" spans="1:17" x14ac:dyDescent="0.25">
      <c r="A69" s="164" t="s">
        <v>153</v>
      </c>
      <c r="B69" s="228">
        <v>0.05</v>
      </c>
      <c r="P69" s="158">
        <v>50</v>
      </c>
      <c r="Q69" s="167">
        <f t="shared" si="2"/>
        <v>0.66666666666666674</v>
      </c>
    </row>
    <row r="70" spans="1:17" x14ac:dyDescent="0.25">
      <c r="P70" s="158">
        <v>51</v>
      </c>
      <c r="Q70" s="167">
        <f t="shared" si="2"/>
        <v>0.66225165562913912</v>
      </c>
    </row>
    <row r="71" spans="1:17" x14ac:dyDescent="0.25">
      <c r="A71" s="157" t="s">
        <v>159</v>
      </c>
      <c r="B71" s="227">
        <f>B66*B69-B67</f>
        <v>3743.8500000000004</v>
      </c>
      <c r="P71" s="158">
        <v>52</v>
      </c>
      <c r="Q71" s="167">
        <f t="shared" si="2"/>
        <v>0.65789473684210531</v>
      </c>
    </row>
    <row r="72" spans="1:17" x14ac:dyDescent="0.25">
      <c r="A72" s="157" t="s">
        <v>160</v>
      </c>
      <c r="B72" s="157">
        <f>B66*B68-B67</f>
        <v>712.77</v>
      </c>
      <c r="P72" s="158">
        <v>53</v>
      </c>
      <c r="Q72" s="167">
        <f t="shared" si="2"/>
        <v>0.65359477124183007</v>
      </c>
    </row>
    <row r="73" spans="1:17" x14ac:dyDescent="0.25">
      <c r="B73" s="221">
        <f>B71-B72</f>
        <v>3031.0800000000004</v>
      </c>
      <c r="P73" s="158">
        <v>54</v>
      </c>
      <c r="Q73" s="167">
        <f t="shared" si="2"/>
        <v>0.64935064935064934</v>
      </c>
    </row>
    <row r="74" spans="1:17" x14ac:dyDescent="0.25">
      <c r="P74" s="158">
        <v>55</v>
      </c>
      <c r="Q74" s="167">
        <f t="shared" si="2"/>
        <v>0.64516129032258063</v>
      </c>
    </row>
    <row r="75" spans="1:17" x14ac:dyDescent="0.25">
      <c r="P75" s="158">
        <v>56</v>
      </c>
      <c r="Q75" s="167">
        <f t="shared" si="2"/>
        <v>0.64102564102564097</v>
      </c>
    </row>
    <row r="76" spans="1:17" x14ac:dyDescent="0.25">
      <c r="P76" s="158">
        <v>57</v>
      </c>
      <c r="Q76" s="167">
        <f t="shared" si="2"/>
        <v>0.63694267515923575</v>
      </c>
    </row>
    <row r="77" spans="1:17" x14ac:dyDescent="0.25">
      <c r="P77" s="158">
        <v>58</v>
      </c>
      <c r="Q77" s="167">
        <f t="shared" si="2"/>
        <v>0.63291139240506333</v>
      </c>
    </row>
    <row r="78" spans="1:17" x14ac:dyDescent="0.25">
      <c r="P78" s="158">
        <v>59</v>
      </c>
      <c r="Q78" s="167">
        <f t="shared" si="2"/>
        <v>0.62893081761006298</v>
      </c>
    </row>
    <row r="79" spans="1:17" x14ac:dyDescent="0.25">
      <c r="P79" s="158">
        <v>60</v>
      </c>
      <c r="Q79" s="167">
        <f t="shared" si="2"/>
        <v>0.625</v>
      </c>
    </row>
    <row r="80" spans="1:17" x14ac:dyDescent="0.25">
      <c r="P80" s="158">
        <v>61</v>
      </c>
      <c r="Q80" s="167">
        <f t="shared" si="2"/>
        <v>0.62111801242236031</v>
      </c>
    </row>
    <row r="81" spans="16:17" x14ac:dyDescent="0.25">
      <c r="P81" s="158">
        <v>62</v>
      </c>
      <c r="Q81" s="167">
        <f t="shared" si="2"/>
        <v>0.61728395061728403</v>
      </c>
    </row>
    <row r="82" spans="16:17" x14ac:dyDescent="0.25">
      <c r="P82" s="158">
        <v>63</v>
      </c>
      <c r="Q82" s="167">
        <f t="shared" si="2"/>
        <v>0.61349693251533743</v>
      </c>
    </row>
    <row r="83" spans="16:17" x14ac:dyDescent="0.25">
      <c r="P83" s="158">
        <v>64</v>
      </c>
      <c r="Q83" s="167">
        <f t="shared" si="2"/>
        <v>0.6097560975609756</v>
      </c>
    </row>
    <row r="84" spans="16:17" x14ac:dyDescent="0.25">
      <c r="P84" s="158">
        <v>65</v>
      </c>
      <c r="Q84" s="167">
        <f t="shared" si="2"/>
        <v>0.60606060606060608</v>
      </c>
    </row>
    <row r="85" spans="16:17" x14ac:dyDescent="0.25">
      <c r="P85" s="158">
        <v>66</v>
      </c>
      <c r="Q85" s="167">
        <f t="shared" ref="Q85:Q148" si="3">1-(P85/($T$20+P85))</f>
        <v>0.60240963855421681</v>
      </c>
    </row>
    <row r="86" spans="16:17" x14ac:dyDescent="0.25">
      <c r="P86" s="158">
        <v>67</v>
      </c>
      <c r="Q86" s="167">
        <f t="shared" si="3"/>
        <v>0.5988023952095809</v>
      </c>
    </row>
    <row r="87" spans="16:17" x14ac:dyDescent="0.25">
      <c r="P87" s="158">
        <v>68</v>
      </c>
      <c r="Q87" s="167">
        <f t="shared" si="3"/>
        <v>0.59523809523809523</v>
      </c>
    </row>
    <row r="88" spans="16:17" x14ac:dyDescent="0.25">
      <c r="P88" s="158">
        <v>69</v>
      </c>
      <c r="Q88" s="167">
        <f t="shared" si="3"/>
        <v>0.59171597633136097</v>
      </c>
    </row>
    <row r="89" spans="16:17" x14ac:dyDescent="0.25">
      <c r="P89" s="158">
        <v>70</v>
      </c>
      <c r="Q89" s="167">
        <f t="shared" si="3"/>
        <v>0.58823529411764708</v>
      </c>
    </row>
    <row r="90" spans="16:17" x14ac:dyDescent="0.25">
      <c r="P90" s="158">
        <v>71</v>
      </c>
      <c r="Q90" s="167">
        <f t="shared" si="3"/>
        <v>0.58479532163742687</v>
      </c>
    </row>
    <row r="91" spans="16:17" x14ac:dyDescent="0.25">
      <c r="P91" s="158">
        <v>72</v>
      </c>
      <c r="Q91" s="167">
        <f t="shared" si="3"/>
        <v>0.58139534883720922</v>
      </c>
    </row>
    <row r="92" spans="16:17" x14ac:dyDescent="0.25">
      <c r="P92" s="158">
        <v>73</v>
      </c>
      <c r="Q92" s="167">
        <f t="shared" si="3"/>
        <v>0.57803468208092479</v>
      </c>
    </row>
    <row r="93" spans="16:17" x14ac:dyDescent="0.25">
      <c r="P93" s="158">
        <v>74</v>
      </c>
      <c r="Q93" s="167">
        <f t="shared" si="3"/>
        <v>0.57471264367816088</v>
      </c>
    </row>
    <row r="94" spans="16:17" x14ac:dyDescent="0.25">
      <c r="P94" s="158">
        <v>75</v>
      </c>
      <c r="Q94" s="167">
        <f t="shared" si="3"/>
        <v>0.5714285714285714</v>
      </c>
    </row>
    <row r="95" spans="16:17" x14ac:dyDescent="0.25">
      <c r="P95" s="158">
        <v>76</v>
      </c>
      <c r="Q95" s="167">
        <f t="shared" si="3"/>
        <v>0.56818181818181812</v>
      </c>
    </row>
    <row r="96" spans="16:17" x14ac:dyDescent="0.25">
      <c r="P96" s="158">
        <v>77</v>
      </c>
      <c r="Q96" s="167">
        <f t="shared" si="3"/>
        <v>0.56497175141242939</v>
      </c>
    </row>
    <row r="97" spans="16:17" x14ac:dyDescent="0.25">
      <c r="P97" s="158">
        <v>78</v>
      </c>
      <c r="Q97" s="167">
        <f t="shared" si="3"/>
        <v>0.5617977528089888</v>
      </c>
    </row>
    <row r="98" spans="16:17" x14ac:dyDescent="0.25">
      <c r="P98" s="158">
        <v>79</v>
      </c>
      <c r="Q98" s="167">
        <f t="shared" si="3"/>
        <v>0.55865921787709505</v>
      </c>
    </row>
    <row r="99" spans="16:17" x14ac:dyDescent="0.25">
      <c r="P99" s="158">
        <v>80</v>
      </c>
      <c r="Q99" s="167">
        <f t="shared" si="3"/>
        <v>0.55555555555555558</v>
      </c>
    </row>
    <row r="100" spans="16:17" x14ac:dyDescent="0.25">
      <c r="P100" s="158">
        <v>81</v>
      </c>
      <c r="Q100" s="167">
        <f t="shared" si="3"/>
        <v>0.55248618784530379</v>
      </c>
    </row>
    <row r="101" spans="16:17" x14ac:dyDescent="0.25">
      <c r="P101" s="158">
        <v>82</v>
      </c>
      <c r="Q101" s="167">
        <f t="shared" si="3"/>
        <v>0.5494505494505495</v>
      </c>
    </row>
    <row r="102" spans="16:17" x14ac:dyDescent="0.25">
      <c r="P102" s="158">
        <v>83</v>
      </c>
      <c r="Q102" s="167">
        <f t="shared" si="3"/>
        <v>0.54644808743169393</v>
      </c>
    </row>
    <row r="103" spans="16:17" x14ac:dyDescent="0.25">
      <c r="P103" s="158">
        <v>84</v>
      </c>
      <c r="Q103" s="167">
        <f t="shared" si="3"/>
        <v>0.54347826086956519</v>
      </c>
    </row>
    <row r="104" spans="16:17" x14ac:dyDescent="0.25">
      <c r="P104" s="158">
        <v>85</v>
      </c>
      <c r="Q104" s="167">
        <f t="shared" si="3"/>
        <v>0.54054054054054057</v>
      </c>
    </row>
    <row r="105" spans="16:17" x14ac:dyDescent="0.25">
      <c r="P105" s="158">
        <v>86</v>
      </c>
      <c r="Q105" s="167">
        <f t="shared" si="3"/>
        <v>0.5376344086021505</v>
      </c>
    </row>
    <row r="106" spans="16:17" x14ac:dyDescent="0.25">
      <c r="P106" s="158">
        <v>87</v>
      </c>
      <c r="Q106" s="167">
        <f t="shared" si="3"/>
        <v>0.53475935828876997</v>
      </c>
    </row>
    <row r="107" spans="16:17" x14ac:dyDescent="0.25">
      <c r="P107" s="158">
        <v>88</v>
      </c>
      <c r="Q107" s="167">
        <f t="shared" si="3"/>
        <v>0.53191489361702127</v>
      </c>
    </row>
    <row r="108" spans="16:17" x14ac:dyDescent="0.25">
      <c r="P108" s="158">
        <v>89</v>
      </c>
      <c r="Q108" s="167">
        <f t="shared" si="3"/>
        <v>0.52910052910052907</v>
      </c>
    </row>
    <row r="109" spans="16:17" x14ac:dyDescent="0.25">
      <c r="P109" s="158">
        <v>90</v>
      </c>
      <c r="Q109" s="167">
        <f t="shared" si="3"/>
        <v>0.52631578947368429</v>
      </c>
    </row>
    <row r="110" spans="16:17" x14ac:dyDescent="0.25">
      <c r="P110" s="158">
        <v>91</v>
      </c>
      <c r="Q110" s="167">
        <f t="shared" si="3"/>
        <v>0.52356020942408377</v>
      </c>
    </row>
    <row r="111" spans="16:17" x14ac:dyDescent="0.25">
      <c r="P111" s="158">
        <v>92</v>
      </c>
      <c r="Q111" s="167">
        <f t="shared" si="3"/>
        <v>0.52083333333333326</v>
      </c>
    </row>
    <row r="112" spans="16:17" x14ac:dyDescent="0.25">
      <c r="P112" s="158">
        <v>93</v>
      </c>
      <c r="Q112" s="167">
        <f t="shared" si="3"/>
        <v>0.5181347150259068</v>
      </c>
    </row>
    <row r="113" spans="16:17" x14ac:dyDescent="0.25">
      <c r="P113" s="158">
        <v>94</v>
      </c>
      <c r="Q113" s="167">
        <f t="shared" si="3"/>
        <v>0.51546391752577314</v>
      </c>
    </row>
    <row r="114" spans="16:17" x14ac:dyDescent="0.25">
      <c r="P114" s="158">
        <v>95</v>
      </c>
      <c r="Q114" s="167">
        <f t="shared" si="3"/>
        <v>0.51282051282051277</v>
      </c>
    </row>
    <row r="115" spans="16:17" x14ac:dyDescent="0.25">
      <c r="P115" s="158">
        <v>96</v>
      </c>
      <c r="Q115" s="167">
        <f t="shared" si="3"/>
        <v>0.51020408163265307</v>
      </c>
    </row>
    <row r="116" spans="16:17" x14ac:dyDescent="0.25">
      <c r="P116" s="158">
        <v>97</v>
      </c>
      <c r="Q116" s="167">
        <f t="shared" si="3"/>
        <v>0.50761421319796951</v>
      </c>
    </row>
    <row r="117" spans="16:17" x14ac:dyDescent="0.25">
      <c r="P117" s="158">
        <v>98</v>
      </c>
      <c r="Q117" s="167">
        <f t="shared" si="3"/>
        <v>0.50505050505050497</v>
      </c>
    </row>
    <row r="118" spans="16:17" x14ac:dyDescent="0.25">
      <c r="P118" s="158">
        <v>99</v>
      </c>
      <c r="Q118" s="167">
        <f t="shared" si="3"/>
        <v>0.50251256281407031</v>
      </c>
    </row>
    <row r="119" spans="16:17" x14ac:dyDescent="0.25">
      <c r="P119" s="158">
        <v>100</v>
      </c>
      <c r="Q119" s="167">
        <f t="shared" si="3"/>
        <v>0.5</v>
      </c>
    </row>
    <row r="120" spans="16:17" x14ac:dyDescent="0.25">
      <c r="P120" s="158">
        <v>101</v>
      </c>
      <c r="Q120" s="167">
        <f t="shared" si="3"/>
        <v>0.49751243781094523</v>
      </c>
    </row>
    <row r="121" spans="16:17" x14ac:dyDescent="0.25">
      <c r="P121" s="158">
        <v>102</v>
      </c>
      <c r="Q121" s="167">
        <f t="shared" si="3"/>
        <v>0.49504950495049505</v>
      </c>
    </row>
    <row r="122" spans="16:17" x14ac:dyDescent="0.25">
      <c r="P122" s="158">
        <v>103</v>
      </c>
      <c r="Q122" s="167">
        <f t="shared" si="3"/>
        <v>0.4926108374384236</v>
      </c>
    </row>
    <row r="123" spans="16:17" x14ac:dyDescent="0.25">
      <c r="P123" s="158">
        <v>104</v>
      </c>
      <c r="Q123" s="167">
        <f t="shared" si="3"/>
        <v>0.49019607843137258</v>
      </c>
    </row>
    <row r="124" spans="16:17" x14ac:dyDescent="0.25">
      <c r="P124" s="158">
        <v>105</v>
      </c>
      <c r="Q124" s="167">
        <f t="shared" si="3"/>
        <v>0.48780487804878048</v>
      </c>
    </row>
    <row r="125" spans="16:17" x14ac:dyDescent="0.25">
      <c r="P125" s="158">
        <v>106</v>
      </c>
      <c r="Q125" s="167">
        <f t="shared" si="3"/>
        <v>0.4854368932038835</v>
      </c>
    </row>
    <row r="126" spans="16:17" x14ac:dyDescent="0.25">
      <c r="P126" s="158">
        <v>107</v>
      </c>
      <c r="Q126" s="167">
        <f t="shared" si="3"/>
        <v>0.48309178743961356</v>
      </c>
    </row>
    <row r="127" spans="16:17" x14ac:dyDescent="0.25">
      <c r="P127" s="158">
        <v>108</v>
      </c>
      <c r="Q127" s="167">
        <f t="shared" si="3"/>
        <v>0.48076923076923073</v>
      </c>
    </row>
    <row r="128" spans="16:17" x14ac:dyDescent="0.25">
      <c r="P128" s="158">
        <v>109</v>
      </c>
      <c r="Q128" s="167">
        <f t="shared" si="3"/>
        <v>0.47846889952153115</v>
      </c>
    </row>
    <row r="129" spans="16:17" x14ac:dyDescent="0.25">
      <c r="P129" s="158">
        <v>110</v>
      </c>
      <c r="Q129" s="167">
        <f t="shared" si="3"/>
        <v>0.47619047619047616</v>
      </c>
    </row>
    <row r="130" spans="16:17" x14ac:dyDescent="0.25">
      <c r="P130" s="158">
        <v>111</v>
      </c>
      <c r="Q130" s="167">
        <f t="shared" si="3"/>
        <v>0.47393364928909953</v>
      </c>
    </row>
    <row r="131" spans="16:17" x14ac:dyDescent="0.25">
      <c r="P131" s="158">
        <v>112</v>
      </c>
      <c r="Q131" s="167">
        <f t="shared" si="3"/>
        <v>0.47169811320754718</v>
      </c>
    </row>
    <row r="132" spans="16:17" x14ac:dyDescent="0.25">
      <c r="P132" s="158">
        <v>113</v>
      </c>
      <c r="Q132" s="167">
        <f t="shared" si="3"/>
        <v>0.46948356807511737</v>
      </c>
    </row>
    <row r="133" spans="16:17" x14ac:dyDescent="0.25">
      <c r="P133" s="158">
        <v>114</v>
      </c>
      <c r="Q133" s="167">
        <f t="shared" si="3"/>
        <v>0.46728971962616828</v>
      </c>
    </row>
    <row r="134" spans="16:17" x14ac:dyDescent="0.25">
      <c r="P134" s="158">
        <v>115</v>
      </c>
      <c r="Q134" s="167">
        <f t="shared" si="3"/>
        <v>0.46511627906976749</v>
      </c>
    </row>
    <row r="135" spans="16:17" x14ac:dyDescent="0.25">
      <c r="P135" s="158">
        <v>116</v>
      </c>
      <c r="Q135" s="167">
        <f t="shared" si="3"/>
        <v>0.46296296296296291</v>
      </c>
    </row>
    <row r="136" spans="16:17" x14ac:dyDescent="0.25">
      <c r="P136" s="158">
        <v>117</v>
      </c>
      <c r="Q136" s="167">
        <f t="shared" si="3"/>
        <v>0.46082949308755761</v>
      </c>
    </row>
    <row r="137" spans="16:17" x14ac:dyDescent="0.25">
      <c r="P137" s="158">
        <v>118</v>
      </c>
      <c r="Q137" s="167">
        <f t="shared" si="3"/>
        <v>0.45871559633027525</v>
      </c>
    </row>
    <row r="138" spans="16:17" x14ac:dyDescent="0.25">
      <c r="P138" s="158">
        <v>119</v>
      </c>
      <c r="Q138" s="167">
        <f t="shared" si="3"/>
        <v>0.45662100456621002</v>
      </c>
    </row>
    <row r="139" spans="16:17" x14ac:dyDescent="0.25">
      <c r="P139" s="158">
        <v>120</v>
      </c>
      <c r="Q139" s="167">
        <f t="shared" si="3"/>
        <v>0.45454545454545459</v>
      </c>
    </row>
    <row r="140" spans="16:17" x14ac:dyDescent="0.25">
      <c r="P140" s="158">
        <v>121</v>
      </c>
      <c r="Q140" s="167">
        <f t="shared" si="3"/>
        <v>0.45248868778280538</v>
      </c>
    </row>
    <row r="141" spans="16:17" x14ac:dyDescent="0.25">
      <c r="P141" s="158">
        <v>122</v>
      </c>
      <c r="Q141" s="167">
        <f t="shared" si="3"/>
        <v>0.4504504504504504</v>
      </c>
    </row>
    <row r="142" spans="16:17" x14ac:dyDescent="0.25">
      <c r="P142" s="158">
        <v>123</v>
      </c>
      <c r="Q142" s="167">
        <f t="shared" si="3"/>
        <v>0.44843049327354256</v>
      </c>
    </row>
    <row r="143" spans="16:17" x14ac:dyDescent="0.25">
      <c r="P143" s="158">
        <v>124</v>
      </c>
      <c r="Q143" s="167">
        <f t="shared" si="3"/>
        <v>0.4464285714285714</v>
      </c>
    </row>
    <row r="144" spans="16:17" x14ac:dyDescent="0.25">
      <c r="P144" s="158">
        <v>125</v>
      </c>
      <c r="Q144" s="167">
        <f t="shared" si="3"/>
        <v>0.44444444444444442</v>
      </c>
    </row>
    <row r="145" spans="16:17" x14ac:dyDescent="0.25">
      <c r="P145" s="158">
        <v>126</v>
      </c>
      <c r="Q145" s="167">
        <f t="shared" si="3"/>
        <v>0.44247787610619471</v>
      </c>
    </row>
    <row r="146" spans="16:17" x14ac:dyDescent="0.25">
      <c r="P146" s="158">
        <v>127</v>
      </c>
      <c r="Q146" s="167">
        <f t="shared" si="3"/>
        <v>0.44052863436123346</v>
      </c>
    </row>
    <row r="147" spans="16:17" x14ac:dyDescent="0.25">
      <c r="P147" s="158">
        <v>128</v>
      </c>
      <c r="Q147" s="167">
        <f t="shared" si="3"/>
        <v>0.43859649122807021</v>
      </c>
    </row>
    <row r="148" spans="16:17" x14ac:dyDescent="0.25">
      <c r="P148" s="158">
        <v>129</v>
      </c>
      <c r="Q148" s="167">
        <f t="shared" si="3"/>
        <v>0.4366812227074236</v>
      </c>
    </row>
    <row r="149" spans="16:17" x14ac:dyDescent="0.25">
      <c r="P149" s="158">
        <v>130</v>
      </c>
      <c r="Q149" s="167">
        <f t="shared" ref="Q149:Q212" si="4">1-(P149/($T$20+P149))</f>
        <v>0.43478260869565222</v>
      </c>
    </row>
    <row r="150" spans="16:17" x14ac:dyDescent="0.25">
      <c r="P150" s="158">
        <v>131</v>
      </c>
      <c r="Q150" s="167">
        <f t="shared" si="4"/>
        <v>0.4329004329004329</v>
      </c>
    </row>
    <row r="151" spans="16:17" x14ac:dyDescent="0.25">
      <c r="P151" s="158">
        <v>132</v>
      </c>
      <c r="Q151" s="167">
        <f t="shared" si="4"/>
        <v>0.43103448275862066</v>
      </c>
    </row>
    <row r="152" spans="16:17" x14ac:dyDescent="0.25">
      <c r="P152" s="158">
        <v>133</v>
      </c>
      <c r="Q152" s="167">
        <f t="shared" si="4"/>
        <v>0.42918454935622319</v>
      </c>
    </row>
    <row r="153" spans="16:17" x14ac:dyDescent="0.25">
      <c r="P153" s="158">
        <v>134</v>
      </c>
      <c r="Q153" s="167">
        <f t="shared" si="4"/>
        <v>0.42735042735042739</v>
      </c>
    </row>
    <row r="154" spans="16:17" x14ac:dyDescent="0.25">
      <c r="P154" s="158">
        <v>135</v>
      </c>
      <c r="Q154" s="167">
        <f t="shared" si="4"/>
        <v>0.42553191489361697</v>
      </c>
    </row>
    <row r="155" spans="16:17" x14ac:dyDescent="0.25">
      <c r="P155" s="158">
        <v>136</v>
      </c>
      <c r="Q155" s="167">
        <f t="shared" si="4"/>
        <v>0.42372881355932202</v>
      </c>
    </row>
    <row r="156" spans="16:17" x14ac:dyDescent="0.25">
      <c r="P156" s="158">
        <v>137</v>
      </c>
      <c r="Q156" s="167">
        <f t="shared" si="4"/>
        <v>0.42194092827004215</v>
      </c>
    </row>
    <row r="157" spans="16:17" x14ac:dyDescent="0.25">
      <c r="P157" s="158">
        <v>138</v>
      </c>
      <c r="Q157" s="167">
        <f t="shared" si="4"/>
        <v>0.42016806722689071</v>
      </c>
    </row>
    <row r="158" spans="16:17" x14ac:dyDescent="0.25">
      <c r="P158" s="158">
        <v>139</v>
      </c>
      <c r="Q158" s="167">
        <f t="shared" si="4"/>
        <v>0.41841004184100417</v>
      </c>
    </row>
    <row r="159" spans="16:17" x14ac:dyDescent="0.25">
      <c r="P159" s="158">
        <v>140</v>
      </c>
      <c r="Q159" s="167">
        <f t="shared" si="4"/>
        <v>0.41666666666666663</v>
      </c>
    </row>
    <row r="160" spans="16:17" x14ac:dyDescent="0.25">
      <c r="P160" s="158">
        <v>141</v>
      </c>
      <c r="Q160" s="167">
        <f t="shared" si="4"/>
        <v>0.41493775933609955</v>
      </c>
    </row>
    <row r="161" spans="16:17" x14ac:dyDescent="0.25">
      <c r="P161" s="158">
        <v>142</v>
      </c>
      <c r="Q161" s="167">
        <f t="shared" si="4"/>
        <v>0.41322314049586772</v>
      </c>
    </row>
    <row r="162" spans="16:17" x14ac:dyDescent="0.25">
      <c r="P162" s="158">
        <v>143</v>
      </c>
      <c r="Q162" s="167">
        <f t="shared" si="4"/>
        <v>0.41152263374485598</v>
      </c>
    </row>
    <row r="163" spans="16:17" x14ac:dyDescent="0.25">
      <c r="P163" s="158">
        <v>144</v>
      </c>
      <c r="Q163" s="167">
        <f t="shared" si="4"/>
        <v>0.4098360655737705</v>
      </c>
    </row>
    <row r="164" spans="16:17" x14ac:dyDescent="0.25">
      <c r="P164" s="158">
        <v>145</v>
      </c>
      <c r="Q164" s="167">
        <f t="shared" si="4"/>
        <v>0.40816326530612246</v>
      </c>
    </row>
    <row r="165" spans="16:17" x14ac:dyDescent="0.25">
      <c r="P165" s="158">
        <v>146</v>
      </c>
      <c r="Q165" s="167">
        <f t="shared" si="4"/>
        <v>0.4065040650406504</v>
      </c>
    </row>
    <row r="166" spans="16:17" x14ac:dyDescent="0.25">
      <c r="P166" s="158">
        <v>147</v>
      </c>
      <c r="Q166" s="167">
        <f t="shared" si="4"/>
        <v>0.40485829959514175</v>
      </c>
    </row>
    <row r="167" spans="16:17" x14ac:dyDescent="0.25">
      <c r="P167" s="158">
        <v>148</v>
      </c>
      <c r="Q167" s="167">
        <f t="shared" si="4"/>
        <v>0.40322580645161288</v>
      </c>
    </row>
    <row r="168" spans="16:17" x14ac:dyDescent="0.25">
      <c r="P168" s="158">
        <v>149</v>
      </c>
      <c r="Q168" s="167">
        <f t="shared" si="4"/>
        <v>0.40160642570281124</v>
      </c>
    </row>
    <row r="169" spans="16:17" x14ac:dyDescent="0.25">
      <c r="P169" s="158">
        <v>150</v>
      </c>
      <c r="Q169" s="167">
        <f t="shared" si="4"/>
        <v>0.4</v>
      </c>
    </row>
    <row r="170" spans="16:17" x14ac:dyDescent="0.25">
      <c r="P170" s="158">
        <v>151</v>
      </c>
      <c r="Q170" s="167">
        <f t="shared" si="4"/>
        <v>0.39840637450199201</v>
      </c>
    </row>
    <row r="171" spans="16:17" x14ac:dyDescent="0.25">
      <c r="P171" s="158">
        <v>152</v>
      </c>
      <c r="Q171" s="167">
        <f t="shared" si="4"/>
        <v>0.39682539682539686</v>
      </c>
    </row>
    <row r="172" spans="16:17" x14ac:dyDescent="0.25">
      <c r="P172" s="158">
        <v>153</v>
      </c>
      <c r="Q172" s="167">
        <f t="shared" si="4"/>
        <v>0.39525691699604748</v>
      </c>
    </row>
    <row r="173" spans="16:17" x14ac:dyDescent="0.25">
      <c r="P173" s="158">
        <v>154</v>
      </c>
      <c r="Q173" s="167">
        <f t="shared" si="4"/>
        <v>0.39370078740157477</v>
      </c>
    </row>
    <row r="174" spans="16:17" x14ac:dyDescent="0.25">
      <c r="P174" s="158">
        <v>155</v>
      </c>
      <c r="Q174" s="167">
        <f t="shared" si="4"/>
        <v>0.39215686274509809</v>
      </c>
    </row>
    <row r="175" spans="16:17" x14ac:dyDescent="0.25">
      <c r="P175" s="158">
        <v>156</v>
      </c>
      <c r="Q175" s="167">
        <f t="shared" si="4"/>
        <v>0.390625</v>
      </c>
    </row>
    <row r="176" spans="16:17" x14ac:dyDescent="0.25">
      <c r="P176" s="158">
        <v>157</v>
      </c>
      <c r="Q176" s="167">
        <f t="shared" si="4"/>
        <v>0.3891050583657587</v>
      </c>
    </row>
    <row r="177" spans="16:17" x14ac:dyDescent="0.25">
      <c r="P177" s="158">
        <v>158</v>
      </c>
      <c r="Q177" s="167">
        <f t="shared" si="4"/>
        <v>0.38759689922480622</v>
      </c>
    </row>
    <row r="178" spans="16:17" x14ac:dyDescent="0.25">
      <c r="P178" s="158">
        <v>159</v>
      </c>
      <c r="Q178" s="167">
        <f t="shared" si="4"/>
        <v>0.38610038610038611</v>
      </c>
    </row>
    <row r="179" spans="16:17" x14ac:dyDescent="0.25">
      <c r="P179" s="158">
        <v>160</v>
      </c>
      <c r="Q179" s="167">
        <f t="shared" si="4"/>
        <v>0.38461538461538458</v>
      </c>
    </row>
    <row r="180" spans="16:17" x14ac:dyDescent="0.25">
      <c r="P180" s="158">
        <v>161</v>
      </c>
      <c r="Q180" s="167">
        <f t="shared" si="4"/>
        <v>0.38314176245210729</v>
      </c>
    </row>
    <row r="181" spans="16:17" x14ac:dyDescent="0.25">
      <c r="P181" s="158">
        <v>162</v>
      </c>
      <c r="Q181" s="167">
        <f t="shared" si="4"/>
        <v>0.38167938931297707</v>
      </c>
    </row>
    <row r="182" spans="16:17" x14ac:dyDescent="0.25">
      <c r="P182" s="158">
        <v>163</v>
      </c>
      <c r="Q182" s="167">
        <f t="shared" si="4"/>
        <v>0.38022813688212931</v>
      </c>
    </row>
    <row r="183" spans="16:17" x14ac:dyDescent="0.25">
      <c r="P183" s="158">
        <v>164</v>
      </c>
      <c r="Q183" s="167">
        <f t="shared" si="4"/>
        <v>0.37878787878787878</v>
      </c>
    </row>
    <row r="184" spans="16:17" x14ac:dyDescent="0.25">
      <c r="P184" s="158">
        <v>165</v>
      </c>
      <c r="Q184" s="167">
        <f t="shared" si="4"/>
        <v>0.37735849056603776</v>
      </c>
    </row>
    <row r="185" spans="16:17" x14ac:dyDescent="0.25">
      <c r="P185" s="158">
        <v>166</v>
      </c>
      <c r="Q185" s="167">
        <f t="shared" si="4"/>
        <v>0.37593984962406013</v>
      </c>
    </row>
    <row r="186" spans="16:17" x14ac:dyDescent="0.25">
      <c r="P186" s="158">
        <v>167</v>
      </c>
      <c r="Q186" s="167">
        <f t="shared" si="4"/>
        <v>0.37453183520599254</v>
      </c>
    </row>
    <row r="187" spans="16:17" x14ac:dyDescent="0.25">
      <c r="P187" s="158">
        <v>168</v>
      </c>
      <c r="Q187" s="167">
        <f t="shared" si="4"/>
        <v>0.37313432835820892</v>
      </c>
    </row>
    <row r="188" spans="16:17" x14ac:dyDescent="0.25">
      <c r="P188" s="158">
        <v>169</v>
      </c>
      <c r="Q188" s="167">
        <f t="shared" si="4"/>
        <v>0.37174721189591076</v>
      </c>
    </row>
    <row r="189" spans="16:17" x14ac:dyDescent="0.25">
      <c r="P189" s="158">
        <v>170</v>
      </c>
      <c r="Q189" s="167">
        <f t="shared" si="4"/>
        <v>0.37037037037037035</v>
      </c>
    </row>
    <row r="190" spans="16:17" x14ac:dyDescent="0.25">
      <c r="P190" s="158">
        <v>171</v>
      </c>
      <c r="Q190" s="167">
        <f t="shared" si="4"/>
        <v>0.36900369003690037</v>
      </c>
    </row>
    <row r="191" spans="16:17" x14ac:dyDescent="0.25">
      <c r="P191" s="158">
        <v>172</v>
      </c>
      <c r="Q191" s="167">
        <f t="shared" si="4"/>
        <v>0.36764705882352944</v>
      </c>
    </row>
    <row r="192" spans="16:17" x14ac:dyDescent="0.25">
      <c r="P192" s="158">
        <v>173</v>
      </c>
      <c r="Q192" s="167">
        <f t="shared" si="4"/>
        <v>0.36630036630036633</v>
      </c>
    </row>
    <row r="193" spans="16:17" x14ac:dyDescent="0.25">
      <c r="P193" s="158">
        <v>174</v>
      </c>
      <c r="Q193" s="167">
        <f t="shared" si="4"/>
        <v>0.36496350364963503</v>
      </c>
    </row>
    <row r="194" spans="16:17" x14ac:dyDescent="0.25">
      <c r="P194" s="158">
        <v>175</v>
      </c>
      <c r="Q194" s="167">
        <f t="shared" si="4"/>
        <v>0.36363636363636365</v>
      </c>
    </row>
    <row r="195" spans="16:17" x14ac:dyDescent="0.25">
      <c r="P195" s="158">
        <v>176</v>
      </c>
      <c r="Q195" s="167">
        <f t="shared" si="4"/>
        <v>0.3623188405797102</v>
      </c>
    </row>
    <row r="196" spans="16:17" x14ac:dyDescent="0.25">
      <c r="P196" s="158">
        <v>177</v>
      </c>
      <c r="Q196" s="167">
        <f t="shared" si="4"/>
        <v>0.36101083032490977</v>
      </c>
    </row>
    <row r="197" spans="16:17" x14ac:dyDescent="0.25">
      <c r="P197" s="158">
        <v>178</v>
      </c>
      <c r="Q197" s="167">
        <f t="shared" si="4"/>
        <v>0.35971223021582732</v>
      </c>
    </row>
    <row r="198" spans="16:17" x14ac:dyDescent="0.25">
      <c r="P198" s="158">
        <v>179</v>
      </c>
      <c r="Q198" s="167">
        <f t="shared" si="4"/>
        <v>0.35842293906810041</v>
      </c>
    </row>
    <row r="199" spans="16:17" x14ac:dyDescent="0.25">
      <c r="P199" s="158">
        <v>180</v>
      </c>
      <c r="Q199" s="167">
        <f t="shared" si="4"/>
        <v>0.3571428571428571</v>
      </c>
    </row>
    <row r="200" spans="16:17" x14ac:dyDescent="0.25">
      <c r="P200" s="158">
        <v>181</v>
      </c>
      <c r="Q200" s="167">
        <f t="shared" si="4"/>
        <v>0.35587188612099641</v>
      </c>
    </row>
    <row r="201" spans="16:17" x14ac:dyDescent="0.25">
      <c r="P201" s="158">
        <v>182</v>
      </c>
      <c r="Q201" s="167">
        <f t="shared" si="4"/>
        <v>0.35460992907801414</v>
      </c>
    </row>
    <row r="202" spans="16:17" x14ac:dyDescent="0.25">
      <c r="P202" s="158">
        <v>183</v>
      </c>
      <c r="Q202" s="167">
        <f t="shared" si="4"/>
        <v>0.35335689045936391</v>
      </c>
    </row>
    <row r="203" spans="16:17" x14ac:dyDescent="0.25">
      <c r="P203" s="158">
        <v>184</v>
      </c>
      <c r="Q203" s="167">
        <f t="shared" si="4"/>
        <v>0.352112676056338</v>
      </c>
    </row>
    <row r="204" spans="16:17" x14ac:dyDescent="0.25">
      <c r="P204" s="158">
        <v>185</v>
      </c>
      <c r="Q204" s="167">
        <f t="shared" si="4"/>
        <v>0.35087719298245612</v>
      </c>
    </row>
    <row r="205" spans="16:17" x14ac:dyDescent="0.25">
      <c r="P205" s="158">
        <v>186</v>
      </c>
      <c r="Q205" s="167">
        <f t="shared" si="4"/>
        <v>0.34965034965034969</v>
      </c>
    </row>
    <row r="206" spans="16:17" x14ac:dyDescent="0.25">
      <c r="P206" s="158">
        <v>187</v>
      </c>
      <c r="Q206" s="167">
        <f t="shared" si="4"/>
        <v>0.34843205574912894</v>
      </c>
    </row>
    <row r="207" spans="16:17" x14ac:dyDescent="0.25">
      <c r="P207" s="158">
        <v>188</v>
      </c>
      <c r="Q207" s="167">
        <f t="shared" si="4"/>
        <v>0.34722222222222221</v>
      </c>
    </row>
    <row r="208" spans="16:17" x14ac:dyDescent="0.25">
      <c r="P208" s="158">
        <v>189</v>
      </c>
      <c r="Q208" s="167">
        <f t="shared" si="4"/>
        <v>0.34602076124567471</v>
      </c>
    </row>
    <row r="209" spans="16:17" x14ac:dyDescent="0.25">
      <c r="P209" s="158">
        <v>190</v>
      </c>
      <c r="Q209" s="167">
        <f t="shared" si="4"/>
        <v>0.34482758620689657</v>
      </c>
    </row>
    <row r="210" spans="16:17" x14ac:dyDescent="0.25">
      <c r="P210" s="158">
        <v>191</v>
      </c>
      <c r="Q210" s="167">
        <f t="shared" si="4"/>
        <v>0.3436426116838488</v>
      </c>
    </row>
    <row r="211" spans="16:17" x14ac:dyDescent="0.25">
      <c r="P211" s="158">
        <v>192</v>
      </c>
      <c r="Q211" s="167">
        <f t="shared" si="4"/>
        <v>0.34246575342465757</v>
      </c>
    </row>
    <row r="212" spans="16:17" x14ac:dyDescent="0.25">
      <c r="P212" s="158">
        <v>193</v>
      </c>
      <c r="Q212" s="167">
        <f t="shared" si="4"/>
        <v>0.34129692832764502</v>
      </c>
    </row>
    <row r="213" spans="16:17" x14ac:dyDescent="0.25">
      <c r="P213" s="158">
        <v>194</v>
      </c>
      <c r="Q213" s="167">
        <f t="shared" ref="Q213:Q219" si="5">1-(P213/($T$20+P213))</f>
        <v>0.34013605442176875</v>
      </c>
    </row>
    <row r="214" spans="16:17" x14ac:dyDescent="0.25">
      <c r="P214" s="158">
        <v>195</v>
      </c>
      <c r="Q214" s="167">
        <f t="shared" si="5"/>
        <v>0.33898305084745761</v>
      </c>
    </row>
    <row r="215" spans="16:17" x14ac:dyDescent="0.25">
      <c r="P215" s="158">
        <v>196</v>
      </c>
      <c r="Q215" s="167">
        <f t="shared" si="5"/>
        <v>0.33783783783783783</v>
      </c>
    </row>
    <row r="216" spans="16:17" x14ac:dyDescent="0.25">
      <c r="P216" s="158">
        <v>197</v>
      </c>
      <c r="Q216" s="167">
        <f t="shared" si="5"/>
        <v>0.33670033670033672</v>
      </c>
    </row>
    <row r="217" spans="16:17" x14ac:dyDescent="0.25">
      <c r="P217" s="158">
        <v>198</v>
      </c>
      <c r="Q217" s="167">
        <f t="shared" si="5"/>
        <v>0.33557046979865768</v>
      </c>
    </row>
    <row r="218" spans="16:17" x14ac:dyDescent="0.25">
      <c r="P218" s="158">
        <v>199</v>
      </c>
      <c r="Q218" s="167">
        <f t="shared" si="5"/>
        <v>0.33444816053511706</v>
      </c>
    </row>
    <row r="219" spans="16:17" x14ac:dyDescent="0.25">
      <c r="P219" s="158">
        <v>200</v>
      </c>
      <c r="Q219" s="167">
        <f t="shared" si="5"/>
        <v>0.33333333333333337</v>
      </c>
    </row>
  </sheetData>
  <mergeCells count="8">
    <mergeCell ref="A36:B37"/>
    <mergeCell ref="E36:G36"/>
    <mergeCell ref="A1:A2"/>
    <mergeCell ref="W1:X1"/>
    <mergeCell ref="B1:V1"/>
    <mergeCell ref="F18:G18"/>
    <mergeCell ref="A22:B22"/>
    <mergeCell ref="A28:C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AC64-D72C-4F49-BF98-5E871D5155A2}">
  <sheetPr codeName="Лист7"/>
  <dimension ref="A1:J367"/>
  <sheetViews>
    <sheetView workbookViewId="0">
      <pane ySplit="1" topLeftCell="A2" activePane="bottomLeft" state="frozen"/>
      <selection pane="bottomLeft" activeCell="L23" sqref="L23"/>
    </sheetView>
  </sheetViews>
  <sheetFormatPr defaultRowHeight="15" x14ac:dyDescent="0.25"/>
  <cols>
    <col min="1" max="1" width="5.7109375" style="51" bestFit="1" customWidth="1"/>
    <col min="2" max="2" width="16.5703125" style="51" bestFit="1" customWidth="1"/>
    <col min="3" max="3" width="11.7109375" style="51" bestFit="1" customWidth="1"/>
    <col min="4" max="4" width="10.42578125" style="51" bestFit="1" customWidth="1"/>
    <col min="6" max="6" width="10.7109375" bestFit="1" customWidth="1"/>
    <col min="7" max="7" width="5.140625" bestFit="1" customWidth="1"/>
    <col min="9" max="9" width="7.5703125" bestFit="1" customWidth="1"/>
  </cols>
  <sheetData>
    <row r="1" spans="1:10" x14ac:dyDescent="0.25">
      <c r="A1" s="51" t="s">
        <v>174</v>
      </c>
      <c r="B1" s="51" t="s">
        <v>171</v>
      </c>
      <c r="C1" s="51" t="s">
        <v>172</v>
      </c>
      <c r="D1" s="51" t="s">
        <v>173</v>
      </c>
      <c r="F1" s="238" t="s">
        <v>176</v>
      </c>
      <c r="G1" t="s">
        <v>177</v>
      </c>
      <c r="I1" t="s">
        <v>179</v>
      </c>
    </row>
    <row r="2" spans="1:10" x14ac:dyDescent="0.25">
      <c r="F2" s="374" t="s">
        <v>175</v>
      </c>
      <c r="G2" s="375"/>
      <c r="I2" s="376" t="s">
        <v>178</v>
      </c>
      <c r="J2" s="376"/>
    </row>
    <row r="3" spans="1:10" x14ac:dyDescent="0.25">
      <c r="F3" s="236" t="s">
        <v>176</v>
      </c>
      <c r="G3" s="1">
        <v>0.3</v>
      </c>
      <c r="I3" s="237" t="s">
        <v>179</v>
      </c>
      <c r="J3" s="1">
        <v>1</v>
      </c>
    </row>
    <row r="4" spans="1:10" x14ac:dyDescent="0.25">
      <c r="F4" s="237" t="s">
        <v>177</v>
      </c>
      <c r="G4" s="1">
        <v>0.5</v>
      </c>
    </row>
    <row r="5" spans="1:10" x14ac:dyDescent="0.25">
      <c r="B5" s="51">
        <v>0</v>
      </c>
    </row>
    <row r="6" spans="1:10" x14ac:dyDescent="0.25">
      <c r="A6" s="51" t="s">
        <v>174</v>
      </c>
      <c r="B6" s="51" t="s">
        <v>171</v>
      </c>
      <c r="C6" s="51" t="s">
        <v>172</v>
      </c>
      <c r="D6" s="51" t="s">
        <v>173</v>
      </c>
      <c r="F6" s="238" t="s">
        <v>176</v>
      </c>
      <c r="G6" t="s">
        <v>177</v>
      </c>
      <c r="I6" t="s">
        <v>179</v>
      </c>
    </row>
    <row r="7" spans="1:10" x14ac:dyDescent="0.25">
      <c r="A7" s="51">
        <v>1</v>
      </c>
      <c r="B7" s="51">
        <f>B5+C7-D7</f>
        <v>0.3</v>
      </c>
      <c r="C7" s="51">
        <f>F7*$G$3+G7*$G$4</f>
        <v>0.3</v>
      </c>
      <c r="D7" s="51">
        <f>I7*$J$3</f>
        <v>0</v>
      </c>
      <c r="F7">
        <v>1</v>
      </c>
      <c r="G7">
        <v>0</v>
      </c>
      <c r="I7">
        <v>0</v>
      </c>
    </row>
    <row r="8" spans="1:10" x14ac:dyDescent="0.25">
      <c r="A8" s="51">
        <v>2</v>
      </c>
      <c r="B8" s="51">
        <f>B7+C8-D8</f>
        <v>0.6</v>
      </c>
      <c r="C8" s="51">
        <f t="shared" ref="C8:C71" si="0">F8*$G$3+G8*$G$4</f>
        <v>0.3</v>
      </c>
      <c r="D8" s="51">
        <f t="shared" ref="D8:D71" si="1">I8*$J$3</f>
        <v>0</v>
      </c>
      <c r="F8">
        <f>F7</f>
        <v>1</v>
      </c>
      <c r="G8">
        <f>G7</f>
        <v>0</v>
      </c>
      <c r="I8">
        <f>I7</f>
        <v>0</v>
      </c>
    </row>
    <row r="9" spans="1:10" x14ac:dyDescent="0.25">
      <c r="A9" s="51">
        <v>3</v>
      </c>
      <c r="B9" s="51">
        <f>B8+C9-D9</f>
        <v>0.89999999999999991</v>
      </c>
      <c r="C9" s="51">
        <f t="shared" si="0"/>
        <v>0.3</v>
      </c>
      <c r="D9" s="51">
        <f t="shared" si="1"/>
        <v>0</v>
      </c>
      <c r="F9">
        <f>F8</f>
        <v>1</v>
      </c>
      <c r="G9">
        <f>G8</f>
        <v>0</v>
      </c>
      <c r="I9">
        <f>I8</f>
        <v>0</v>
      </c>
    </row>
    <row r="10" spans="1:10" x14ac:dyDescent="0.25">
      <c r="A10" s="51">
        <v>4</v>
      </c>
      <c r="B10" s="51">
        <f t="shared" ref="B10:B73" si="2">B9+C10-D10</f>
        <v>1.2</v>
      </c>
      <c r="C10" s="51">
        <f t="shared" si="0"/>
        <v>0.3</v>
      </c>
      <c r="D10" s="51">
        <f t="shared" si="1"/>
        <v>0</v>
      </c>
      <c r="F10">
        <f t="shared" ref="F10:F73" si="3">F9</f>
        <v>1</v>
      </c>
      <c r="G10">
        <f t="shared" ref="G10:G73" si="4">G9</f>
        <v>0</v>
      </c>
      <c r="I10">
        <f t="shared" ref="I10:I73" si="5">I9</f>
        <v>0</v>
      </c>
    </row>
    <row r="11" spans="1:10" x14ac:dyDescent="0.25">
      <c r="A11" s="51">
        <v>5</v>
      </c>
      <c r="B11" s="51">
        <f t="shared" si="2"/>
        <v>1.5</v>
      </c>
      <c r="C11" s="51">
        <f t="shared" si="0"/>
        <v>0.3</v>
      </c>
      <c r="D11" s="51">
        <f t="shared" si="1"/>
        <v>0</v>
      </c>
      <c r="F11">
        <f t="shared" si="3"/>
        <v>1</v>
      </c>
      <c r="G11">
        <f t="shared" si="4"/>
        <v>0</v>
      </c>
      <c r="I11">
        <f t="shared" si="5"/>
        <v>0</v>
      </c>
    </row>
    <row r="12" spans="1:10" x14ac:dyDescent="0.25">
      <c r="A12" s="51">
        <v>6</v>
      </c>
      <c r="B12" s="51">
        <f t="shared" si="2"/>
        <v>1.8</v>
      </c>
      <c r="C12" s="51">
        <f t="shared" si="0"/>
        <v>0.3</v>
      </c>
      <c r="D12" s="51">
        <f t="shared" si="1"/>
        <v>0</v>
      </c>
      <c r="F12">
        <f t="shared" si="3"/>
        <v>1</v>
      </c>
      <c r="G12">
        <f t="shared" si="4"/>
        <v>0</v>
      </c>
      <c r="I12">
        <f t="shared" si="5"/>
        <v>0</v>
      </c>
    </row>
    <row r="13" spans="1:10" x14ac:dyDescent="0.25">
      <c r="A13" s="51">
        <v>7</v>
      </c>
      <c r="B13" s="51">
        <f t="shared" si="2"/>
        <v>2.1</v>
      </c>
      <c r="C13" s="51">
        <f t="shared" si="0"/>
        <v>0.3</v>
      </c>
      <c r="D13" s="51">
        <f t="shared" si="1"/>
        <v>0</v>
      </c>
      <c r="F13">
        <f t="shared" si="3"/>
        <v>1</v>
      </c>
      <c r="G13">
        <f t="shared" si="4"/>
        <v>0</v>
      </c>
      <c r="I13">
        <f t="shared" si="5"/>
        <v>0</v>
      </c>
    </row>
    <row r="14" spans="1:10" x14ac:dyDescent="0.25">
      <c r="A14" s="51">
        <v>8</v>
      </c>
      <c r="B14" s="51">
        <f t="shared" si="2"/>
        <v>2.4</v>
      </c>
      <c r="C14" s="51">
        <f t="shared" si="0"/>
        <v>0.3</v>
      </c>
      <c r="D14" s="51">
        <f t="shared" si="1"/>
        <v>0</v>
      </c>
      <c r="F14">
        <f t="shared" si="3"/>
        <v>1</v>
      </c>
      <c r="G14">
        <f t="shared" si="4"/>
        <v>0</v>
      </c>
      <c r="I14">
        <f t="shared" si="5"/>
        <v>0</v>
      </c>
    </row>
    <row r="15" spans="1:10" x14ac:dyDescent="0.25">
      <c r="A15" s="51">
        <v>9</v>
      </c>
      <c r="B15" s="51">
        <f t="shared" si="2"/>
        <v>2.6999999999999997</v>
      </c>
      <c r="C15" s="51">
        <f t="shared" si="0"/>
        <v>0.3</v>
      </c>
      <c r="D15" s="51">
        <f t="shared" si="1"/>
        <v>0</v>
      </c>
      <c r="F15">
        <f t="shared" si="3"/>
        <v>1</v>
      </c>
      <c r="G15">
        <f t="shared" si="4"/>
        <v>0</v>
      </c>
      <c r="I15">
        <f t="shared" si="5"/>
        <v>0</v>
      </c>
    </row>
    <row r="16" spans="1:10" x14ac:dyDescent="0.25">
      <c r="A16" s="51">
        <v>10</v>
      </c>
      <c r="B16" s="51">
        <f t="shared" si="2"/>
        <v>2.9999999999999996</v>
      </c>
      <c r="C16" s="51">
        <f t="shared" si="0"/>
        <v>0.3</v>
      </c>
      <c r="D16" s="51">
        <f t="shared" si="1"/>
        <v>0</v>
      </c>
      <c r="F16">
        <f t="shared" si="3"/>
        <v>1</v>
      </c>
      <c r="G16">
        <f t="shared" si="4"/>
        <v>0</v>
      </c>
      <c r="I16">
        <f t="shared" si="5"/>
        <v>0</v>
      </c>
    </row>
    <row r="17" spans="1:9" x14ac:dyDescent="0.25">
      <c r="A17" s="51">
        <v>11</v>
      </c>
      <c r="B17" s="51">
        <f t="shared" si="2"/>
        <v>3.2999999999999994</v>
      </c>
      <c r="C17" s="51">
        <f t="shared" si="0"/>
        <v>0.3</v>
      </c>
      <c r="D17" s="51">
        <f t="shared" si="1"/>
        <v>0</v>
      </c>
      <c r="F17">
        <f t="shared" si="3"/>
        <v>1</v>
      </c>
      <c r="G17">
        <f t="shared" si="4"/>
        <v>0</v>
      </c>
      <c r="I17">
        <f t="shared" si="5"/>
        <v>0</v>
      </c>
    </row>
    <row r="18" spans="1:9" x14ac:dyDescent="0.25">
      <c r="A18" s="51">
        <v>12</v>
      </c>
      <c r="B18" s="51">
        <f t="shared" si="2"/>
        <v>3.5999999999999992</v>
      </c>
      <c r="C18" s="51">
        <f t="shared" si="0"/>
        <v>0.3</v>
      </c>
      <c r="D18" s="51">
        <f t="shared" si="1"/>
        <v>0</v>
      </c>
      <c r="F18">
        <f t="shared" si="3"/>
        <v>1</v>
      </c>
      <c r="G18">
        <f t="shared" si="4"/>
        <v>0</v>
      </c>
      <c r="I18">
        <f t="shared" si="5"/>
        <v>0</v>
      </c>
    </row>
    <row r="19" spans="1:9" x14ac:dyDescent="0.25">
      <c r="A19" s="51">
        <v>13</v>
      </c>
      <c r="B19" s="51">
        <f t="shared" si="2"/>
        <v>3.899999999999999</v>
      </c>
      <c r="C19" s="51">
        <f t="shared" si="0"/>
        <v>0.3</v>
      </c>
      <c r="D19" s="51">
        <f t="shared" si="1"/>
        <v>0</v>
      </c>
      <c r="F19">
        <f t="shared" si="3"/>
        <v>1</v>
      </c>
      <c r="G19">
        <f t="shared" si="4"/>
        <v>0</v>
      </c>
      <c r="I19">
        <f t="shared" si="5"/>
        <v>0</v>
      </c>
    </row>
    <row r="20" spans="1:9" x14ac:dyDescent="0.25">
      <c r="A20" s="51">
        <v>14</v>
      </c>
      <c r="B20" s="51">
        <f t="shared" si="2"/>
        <v>4.1999999999999993</v>
      </c>
      <c r="C20" s="51">
        <f t="shared" si="0"/>
        <v>0.3</v>
      </c>
      <c r="D20" s="51">
        <f t="shared" si="1"/>
        <v>0</v>
      </c>
      <c r="F20">
        <f t="shared" si="3"/>
        <v>1</v>
      </c>
      <c r="G20">
        <f t="shared" si="4"/>
        <v>0</v>
      </c>
      <c r="I20">
        <f t="shared" si="5"/>
        <v>0</v>
      </c>
    </row>
    <row r="21" spans="1:9" x14ac:dyDescent="0.25">
      <c r="A21" s="51">
        <v>15</v>
      </c>
      <c r="B21" s="51">
        <f t="shared" si="2"/>
        <v>4.4999999999999991</v>
      </c>
      <c r="C21" s="51">
        <f t="shared" si="0"/>
        <v>0.3</v>
      </c>
      <c r="D21" s="51">
        <f t="shared" si="1"/>
        <v>0</v>
      </c>
      <c r="F21">
        <f t="shared" si="3"/>
        <v>1</v>
      </c>
      <c r="G21">
        <f t="shared" si="4"/>
        <v>0</v>
      </c>
      <c r="I21">
        <f t="shared" si="5"/>
        <v>0</v>
      </c>
    </row>
    <row r="22" spans="1:9" x14ac:dyDescent="0.25">
      <c r="A22" s="51">
        <v>16</v>
      </c>
      <c r="B22" s="51">
        <f t="shared" si="2"/>
        <v>4.7999999999999989</v>
      </c>
      <c r="C22" s="51">
        <f t="shared" si="0"/>
        <v>0.3</v>
      </c>
      <c r="D22" s="51">
        <f t="shared" si="1"/>
        <v>0</v>
      </c>
      <c r="F22">
        <f t="shared" si="3"/>
        <v>1</v>
      </c>
      <c r="G22">
        <f t="shared" si="4"/>
        <v>0</v>
      </c>
      <c r="I22">
        <f t="shared" si="5"/>
        <v>0</v>
      </c>
    </row>
    <row r="23" spans="1:9" x14ac:dyDescent="0.25">
      <c r="A23" s="51">
        <v>17</v>
      </c>
      <c r="B23" s="51">
        <f t="shared" si="2"/>
        <v>5.0999999999999988</v>
      </c>
      <c r="C23" s="51">
        <f t="shared" si="0"/>
        <v>0.3</v>
      </c>
      <c r="D23" s="51">
        <f t="shared" si="1"/>
        <v>0</v>
      </c>
      <c r="F23">
        <f t="shared" si="3"/>
        <v>1</v>
      </c>
      <c r="G23">
        <f t="shared" si="4"/>
        <v>0</v>
      </c>
      <c r="I23">
        <f t="shared" si="5"/>
        <v>0</v>
      </c>
    </row>
    <row r="24" spans="1:9" x14ac:dyDescent="0.25">
      <c r="A24" s="51">
        <v>18</v>
      </c>
      <c r="B24" s="51">
        <f t="shared" si="2"/>
        <v>5.3999999999999986</v>
      </c>
      <c r="C24" s="51">
        <f t="shared" si="0"/>
        <v>0.3</v>
      </c>
      <c r="D24" s="51">
        <f t="shared" si="1"/>
        <v>0</v>
      </c>
      <c r="F24">
        <f t="shared" si="3"/>
        <v>1</v>
      </c>
      <c r="G24">
        <f t="shared" si="4"/>
        <v>0</v>
      </c>
      <c r="I24">
        <f t="shared" si="5"/>
        <v>0</v>
      </c>
    </row>
    <row r="25" spans="1:9" x14ac:dyDescent="0.25">
      <c r="A25" s="51">
        <v>19</v>
      </c>
      <c r="B25" s="51">
        <f t="shared" si="2"/>
        <v>5.6999999999999984</v>
      </c>
      <c r="C25" s="51">
        <f t="shared" si="0"/>
        <v>0.3</v>
      </c>
      <c r="D25" s="51">
        <f t="shared" si="1"/>
        <v>0</v>
      </c>
      <c r="F25">
        <f t="shared" si="3"/>
        <v>1</v>
      </c>
      <c r="G25">
        <f t="shared" si="4"/>
        <v>0</v>
      </c>
      <c r="I25">
        <f t="shared" si="5"/>
        <v>0</v>
      </c>
    </row>
    <row r="26" spans="1:9" x14ac:dyDescent="0.25">
      <c r="A26" s="51">
        <v>20</v>
      </c>
      <c r="B26" s="51">
        <f t="shared" si="2"/>
        <v>5.9999999999999982</v>
      </c>
      <c r="C26" s="51">
        <f t="shared" si="0"/>
        <v>0.3</v>
      </c>
      <c r="D26" s="51">
        <f t="shared" si="1"/>
        <v>0</v>
      </c>
      <c r="F26">
        <f t="shared" si="3"/>
        <v>1</v>
      </c>
      <c r="G26">
        <f t="shared" si="4"/>
        <v>0</v>
      </c>
      <c r="I26">
        <f t="shared" si="5"/>
        <v>0</v>
      </c>
    </row>
    <row r="27" spans="1:9" x14ac:dyDescent="0.25">
      <c r="A27" s="51">
        <v>21</v>
      </c>
      <c r="B27" s="51">
        <f t="shared" si="2"/>
        <v>6.299999999999998</v>
      </c>
      <c r="C27" s="51">
        <f t="shared" si="0"/>
        <v>0.3</v>
      </c>
      <c r="D27" s="51">
        <f t="shared" si="1"/>
        <v>0</v>
      </c>
      <c r="F27">
        <f t="shared" si="3"/>
        <v>1</v>
      </c>
      <c r="G27">
        <f t="shared" si="4"/>
        <v>0</v>
      </c>
      <c r="I27">
        <f t="shared" si="5"/>
        <v>0</v>
      </c>
    </row>
    <row r="28" spans="1:9" x14ac:dyDescent="0.25">
      <c r="A28" s="51">
        <v>22</v>
      </c>
      <c r="B28" s="51">
        <f t="shared" si="2"/>
        <v>6.5999999999999979</v>
      </c>
      <c r="C28" s="51">
        <f t="shared" si="0"/>
        <v>0.3</v>
      </c>
      <c r="D28" s="51">
        <f t="shared" si="1"/>
        <v>0</v>
      </c>
      <c r="F28">
        <f t="shared" si="3"/>
        <v>1</v>
      </c>
      <c r="G28">
        <f t="shared" si="4"/>
        <v>0</v>
      </c>
      <c r="I28">
        <f t="shared" si="5"/>
        <v>0</v>
      </c>
    </row>
    <row r="29" spans="1:9" x14ac:dyDescent="0.25">
      <c r="A29" s="51">
        <v>23</v>
      </c>
      <c r="B29" s="51">
        <f t="shared" si="2"/>
        <v>6.8999999999999977</v>
      </c>
      <c r="C29" s="51">
        <f t="shared" si="0"/>
        <v>0.3</v>
      </c>
      <c r="D29" s="51">
        <f t="shared" si="1"/>
        <v>0</v>
      </c>
      <c r="F29">
        <f t="shared" si="3"/>
        <v>1</v>
      </c>
      <c r="G29">
        <f t="shared" si="4"/>
        <v>0</v>
      </c>
      <c r="I29">
        <f t="shared" si="5"/>
        <v>0</v>
      </c>
    </row>
    <row r="30" spans="1:9" x14ac:dyDescent="0.25">
      <c r="A30" s="51">
        <v>24</v>
      </c>
      <c r="B30" s="51">
        <f t="shared" si="2"/>
        <v>7.1999999999999975</v>
      </c>
      <c r="C30" s="51">
        <f t="shared" si="0"/>
        <v>0.3</v>
      </c>
      <c r="D30" s="51">
        <f t="shared" si="1"/>
        <v>0</v>
      </c>
      <c r="F30">
        <f t="shared" si="3"/>
        <v>1</v>
      </c>
      <c r="G30">
        <f t="shared" si="4"/>
        <v>0</v>
      </c>
      <c r="I30">
        <f t="shared" si="5"/>
        <v>0</v>
      </c>
    </row>
    <row r="31" spans="1:9" x14ac:dyDescent="0.25">
      <c r="A31" s="51">
        <v>25</v>
      </c>
      <c r="B31" s="51">
        <f t="shared" si="2"/>
        <v>7.4999999999999973</v>
      </c>
      <c r="C31" s="51">
        <f t="shared" si="0"/>
        <v>0.3</v>
      </c>
      <c r="D31" s="51">
        <f t="shared" si="1"/>
        <v>0</v>
      </c>
      <c r="F31">
        <f t="shared" si="3"/>
        <v>1</v>
      </c>
      <c r="G31">
        <f t="shared" si="4"/>
        <v>0</v>
      </c>
      <c r="I31">
        <f t="shared" si="5"/>
        <v>0</v>
      </c>
    </row>
    <row r="32" spans="1:9" x14ac:dyDescent="0.25">
      <c r="A32" s="51">
        <v>26</v>
      </c>
      <c r="B32" s="51">
        <f t="shared" si="2"/>
        <v>7.7999999999999972</v>
      </c>
      <c r="C32" s="51">
        <f t="shared" si="0"/>
        <v>0.3</v>
      </c>
      <c r="D32" s="51">
        <f t="shared" si="1"/>
        <v>0</v>
      </c>
      <c r="F32">
        <f t="shared" si="3"/>
        <v>1</v>
      </c>
      <c r="G32">
        <f t="shared" si="4"/>
        <v>0</v>
      </c>
      <c r="I32">
        <f t="shared" si="5"/>
        <v>0</v>
      </c>
    </row>
    <row r="33" spans="1:9" x14ac:dyDescent="0.25">
      <c r="A33" s="51">
        <v>27</v>
      </c>
      <c r="B33" s="51">
        <f t="shared" si="2"/>
        <v>8.0999999999999979</v>
      </c>
      <c r="C33" s="51">
        <f t="shared" si="0"/>
        <v>0.3</v>
      </c>
      <c r="D33" s="51">
        <f t="shared" si="1"/>
        <v>0</v>
      </c>
      <c r="F33">
        <f t="shared" si="3"/>
        <v>1</v>
      </c>
      <c r="G33">
        <f t="shared" si="4"/>
        <v>0</v>
      </c>
      <c r="I33">
        <f t="shared" si="5"/>
        <v>0</v>
      </c>
    </row>
    <row r="34" spans="1:9" x14ac:dyDescent="0.25">
      <c r="A34" s="51">
        <v>28</v>
      </c>
      <c r="B34" s="51">
        <f t="shared" si="2"/>
        <v>8.3999999999999986</v>
      </c>
      <c r="C34" s="51">
        <f t="shared" si="0"/>
        <v>0.3</v>
      </c>
      <c r="D34" s="51">
        <f t="shared" si="1"/>
        <v>0</v>
      </c>
      <c r="F34">
        <f t="shared" si="3"/>
        <v>1</v>
      </c>
      <c r="G34">
        <f t="shared" si="4"/>
        <v>0</v>
      </c>
      <c r="I34">
        <f t="shared" si="5"/>
        <v>0</v>
      </c>
    </row>
    <row r="35" spans="1:9" x14ac:dyDescent="0.25">
      <c r="A35" s="51">
        <v>29</v>
      </c>
      <c r="B35" s="51">
        <f t="shared" si="2"/>
        <v>8.6999999999999993</v>
      </c>
      <c r="C35" s="51">
        <f t="shared" si="0"/>
        <v>0.3</v>
      </c>
      <c r="D35" s="51">
        <f t="shared" si="1"/>
        <v>0</v>
      </c>
      <c r="F35">
        <f t="shared" si="3"/>
        <v>1</v>
      </c>
      <c r="G35">
        <f t="shared" si="4"/>
        <v>0</v>
      </c>
      <c r="I35">
        <f t="shared" si="5"/>
        <v>0</v>
      </c>
    </row>
    <row r="36" spans="1:9" x14ac:dyDescent="0.25">
      <c r="A36" s="51">
        <v>30</v>
      </c>
      <c r="B36" s="51">
        <f t="shared" si="2"/>
        <v>9</v>
      </c>
      <c r="C36" s="51">
        <f t="shared" si="0"/>
        <v>0.3</v>
      </c>
      <c r="D36" s="51">
        <f t="shared" si="1"/>
        <v>0</v>
      </c>
      <c r="F36">
        <f t="shared" si="3"/>
        <v>1</v>
      </c>
      <c r="G36">
        <f t="shared" si="4"/>
        <v>0</v>
      </c>
      <c r="I36">
        <f t="shared" si="5"/>
        <v>0</v>
      </c>
    </row>
    <row r="37" spans="1:9" x14ac:dyDescent="0.25">
      <c r="A37" s="51">
        <v>31</v>
      </c>
      <c r="B37" s="51">
        <f t="shared" si="2"/>
        <v>9.3000000000000007</v>
      </c>
      <c r="C37" s="51">
        <f t="shared" si="0"/>
        <v>0.3</v>
      </c>
      <c r="D37" s="51">
        <f t="shared" si="1"/>
        <v>0</v>
      </c>
      <c r="F37">
        <f t="shared" si="3"/>
        <v>1</v>
      </c>
      <c r="G37">
        <f t="shared" si="4"/>
        <v>0</v>
      </c>
      <c r="I37">
        <f t="shared" si="5"/>
        <v>0</v>
      </c>
    </row>
    <row r="38" spans="1:9" x14ac:dyDescent="0.25">
      <c r="A38" s="51">
        <v>32</v>
      </c>
      <c r="B38" s="51">
        <f t="shared" si="2"/>
        <v>9.6000000000000014</v>
      </c>
      <c r="C38" s="51">
        <f t="shared" si="0"/>
        <v>0.3</v>
      </c>
      <c r="D38" s="51">
        <f t="shared" si="1"/>
        <v>0</v>
      </c>
      <c r="F38">
        <f t="shared" si="3"/>
        <v>1</v>
      </c>
      <c r="G38">
        <f t="shared" si="4"/>
        <v>0</v>
      </c>
      <c r="I38">
        <f t="shared" si="5"/>
        <v>0</v>
      </c>
    </row>
    <row r="39" spans="1:9" x14ac:dyDescent="0.25">
      <c r="A39" s="51">
        <v>33</v>
      </c>
      <c r="B39" s="51">
        <f t="shared" si="2"/>
        <v>9.9000000000000021</v>
      </c>
      <c r="C39" s="51">
        <f t="shared" si="0"/>
        <v>0.3</v>
      </c>
      <c r="D39" s="51">
        <f t="shared" si="1"/>
        <v>0</v>
      </c>
      <c r="F39">
        <f t="shared" si="3"/>
        <v>1</v>
      </c>
      <c r="G39">
        <f t="shared" si="4"/>
        <v>0</v>
      </c>
      <c r="I39">
        <f t="shared" si="5"/>
        <v>0</v>
      </c>
    </row>
    <row r="40" spans="1:9" x14ac:dyDescent="0.25">
      <c r="A40" s="51">
        <v>34</v>
      </c>
      <c r="B40" s="51">
        <f t="shared" si="2"/>
        <v>10.200000000000003</v>
      </c>
      <c r="C40" s="51">
        <f t="shared" si="0"/>
        <v>0.3</v>
      </c>
      <c r="D40" s="51">
        <f t="shared" si="1"/>
        <v>0</v>
      </c>
      <c r="F40">
        <f t="shared" si="3"/>
        <v>1</v>
      </c>
      <c r="G40">
        <f t="shared" si="4"/>
        <v>0</v>
      </c>
      <c r="I40">
        <f t="shared" si="5"/>
        <v>0</v>
      </c>
    </row>
    <row r="41" spans="1:9" x14ac:dyDescent="0.25">
      <c r="A41" s="51">
        <v>35</v>
      </c>
      <c r="B41" s="51">
        <f t="shared" si="2"/>
        <v>10.500000000000004</v>
      </c>
      <c r="C41" s="51">
        <f t="shared" si="0"/>
        <v>0.3</v>
      </c>
      <c r="D41" s="51">
        <f t="shared" si="1"/>
        <v>0</v>
      </c>
      <c r="F41">
        <f t="shared" si="3"/>
        <v>1</v>
      </c>
      <c r="G41">
        <f t="shared" si="4"/>
        <v>0</v>
      </c>
      <c r="I41">
        <f t="shared" si="5"/>
        <v>0</v>
      </c>
    </row>
    <row r="42" spans="1:9" x14ac:dyDescent="0.25">
      <c r="A42" s="51">
        <v>36</v>
      </c>
      <c r="B42" s="51">
        <f t="shared" si="2"/>
        <v>10.800000000000004</v>
      </c>
      <c r="C42" s="51">
        <f t="shared" si="0"/>
        <v>0.3</v>
      </c>
      <c r="D42" s="51">
        <f t="shared" si="1"/>
        <v>0</v>
      </c>
      <c r="F42">
        <f t="shared" si="3"/>
        <v>1</v>
      </c>
      <c r="G42">
        <f t="shared" si="4"/>
        <v>0</v>
      </c>
      <c r="I42">
        <f t="shared" si="5"/>
        <v>0</v>
      </c>
    </row>
    <row r="43" spans="1:9" x14ac:dyDescent="0.25">
      <c r="A43" s="51">
        <v>37</v>
      </c>
      <c r="B43" s="51">
        <f t="shared" si="2"/>
        <v>11.100000000000005</v>
      </c>
      <c r="C43" s="51">
        <f t="shared" si="0"/>
        <v>0.3</v>
      </c>
      <c r="D43" s="51">
        <f t="shared" si="1"/>
        <v>0</v>
      </c>
      <c r="F43">
        <f t="shared" si="3"/>
        <v>1</v>
      </c>
      <c r="G43">
        <f t="shared" si="4"/>
        <v>0</v>
      </c>
      <c r="I43">
        <f t="shared" si="5"/>
        <v>0</v>
      </c>
    </row>
    <row r="44" spans="1:9" x14ac:dyDescent="0.25">
      <c r="A44" s="51">
        <v>38</v>
      </c>
      <c r="B44" s="51">
        <f t="shared" si="2"/>
        <v>11.400000000000006</v>
      </c>
      <c r="C44" s="51">
        <f t="shared" si="0"/>
        <v>0.3</v>
      </c>
      <c r="D44" s="51">
        <f t="shared" si="1"/>
        <v>0</v>
      </c>
      <c r="F44">
        <f t="shared" si="3"/>
        <v>1</v>
      </c>
      <c r="G44">
        <f t="shared" si="4"/>
        <v>0</v>
      </c>
      <c r="I44">
        <f t="shared" si="5"/>
        <v>0</v>
      </c>
    </row>
    <row r="45" spans="1:9" x14ac:dyDescent="0.25">
      <c r="A45" s="51">
        <v>39</v>
      </c>
      <c r="B45" s="51">
        <f t="shared" si="2"/>
        <v>11.700000000000006</v>
      </c>
      <c r="C45" s="51">
        <f t="shared" si="0"/>
        <v>0.3</v>
      </c>
      <c r="D45" s="51">
        <f t="shared" si="1"/>
        <v>0</v>
      </c>
      <c r="F45">
        <f t="shared" si="3"/>
        <v>1</v>
      </c>
      <c r="G45">
        <f t="shared" si="4"/>
        <v>0</v>
      </c>
      <c r="I45">
        <f t="shared" si="5"/>
        <v>0</v>
      </c>
    </row>
    <row r="46" spans="1:9" x14ac:dyDescent="0.25">
      <c r="A46" s="51">
        <v>40</v>
      </c>
      <c r="B46" s="51">
        <f t="shared" si="2"/>
        <v>12.000000000000007</v>
      </c>
      <c r="C46" s="51">
        <f t="shared" si="0"/>
        <v>0.3</v>
      </c>
      <c r="D46" s="51">
        <f t="shared" si="1"/>
        <v>0</v>
      </c>
      <c r="F46">
        <f t="shared" si="3"/>
        <v>1</v>
      </c>
      <c r="G46">
        <f t="shared" si="4"/>
        <v>0</v>
      </c>
      <c r="I46">
        <f t="shared" si="5"/>
        <v>0</v>
      </c>
    </row>
    <row r="47" spans="1:9" x14ac:dyDescent="0.25">
      <c r="A47" s="51">
        <v>41</v>
      </c>
      <c r="B47" s="51">
        <f t="shared" si="2"/>
        <v>12.300000000000008</v>
      </c>
      <c r="C47" s="51">
        <f t="shared" si="0"/>
        <v>0.3</v>
      </c>
      <c r="D47" s="51">
        <f t="shared" si="1"/>
        <v>0</v>
      </c>
      <c r="F47">
        <f t="shared" si="3"/>
        <v>1</v>
      </c>
      <c r="G47">
        <f t="shared" si="4"/>
        <v>0</v>
      </c>
      <c r="I47">
        <f t="shared" si="5"/>
        <v>0</v>
      </c>
    </row>
    <row r="48" spans="1:9" x14ac:dyDescent="0.25">
      <c r="A48" s="51">
        <v>42</v>
      </c>
      <c r="B48" s="51">
        <f t="shared" si="2"/>
        <v>12.600000000000009</v>
      </c>
      <c r="C48" s="51">
        <f t="shared" si="0"/>
        <v>0.3</v>
      </c>
      <c r="D48" s="51">
        <f t="shared" si="1"/>
        <v>0</v>
      </c>
      <c r="F48">
        <f t="shared" si="3"/>
        <v>1</v>
      </c>
      <c r="G48">
        <f t="shared" si="4"/>
        <v>0</v>
      </c>
      <c r="I48">
        <f t="shared" si="5"/>
        <v>0</v>
      </c>
    </row>
    <row r="49" spans="1:9" x14ac:dyDescent="0.25">
      <c r="A49" s="51">
        <v>43</v>
      </c>
      <c r="B49" s="51">
        <f t="shared" si="2"/>
        <v>12.900000000000009</v>
      </c>
      <c r="C49" s="51">
        <f t="shared" si="0"/>
        <v>0.3</v>
      </c>
      <c r="D49" s="51">
        <f t="shared" si="1"/>
        <v>0</v>
      </c>
      <c r="F49">
        <f t="shared" si="3"/>
        <v>1</v>
      </c>
      <c r="G49">
        <f t="shared" si="4"/>
        <v>0</v>
      </c>
      <c r="I49">
        <f t="shared" si="5"/>
        <v>0</v>
      </c>
    </row>
    <row r="50" spans="1:9" x14ac:dyDescent="0.25">
      <c r="A50" s="51">
        <v>44</v>
      </c>
      <c r="B50" s="51">
        <f t="shared" si="2"/>
        <v>13.20000000000001</v>
      </c>
      <c r="C50" s="51">
        <f t="shared" si="0"/>
        <v>0.3</v>
      </c>
      <c r="D50" s="51">
        <f t="shared" si="1"/>
        <v>0</v>
      </c>
      <c r="F50">
        <f t="shared" si="3"/>
        <v>1</v>
      </c>
      <c r="G50">
        <f t="shared" si="4"/>
        <v>0</v>
      </c>
      <c r="I50">
        <f t="shared" si="5"/>
        <v>0</v>
      </c>
    </row>
    <row r="51" spans="1:9" x14ac:dyDescent="0.25">
      <c r="A51" s="51">
        <v>45</v>
      </c>
      <c r="B51" s="51">
        <f t="shared" si="2"/>
        <v>13.500000000000011</v>
      </c>
      <c r="C51" s="51">
        <f t="shared" si="0"/>
        <v>0.3</v>
      </c>
      <c r="D51" s="51">
        <f t="shared" si="1"/>
        <v>0</v>
      </c>
      <c r="F51">
        <f t="shared" si="3"/>
        <v>1</v>
      </c>
      <c r="G51">
        <f t="shared" si="4"/>
        <v>0</v>
      </c>
      <c r="I51">
        <f t="shared" si="5"/>
        <v>0</v>
      </c>
    </row>
    <row r="52" spans="1:9" x14ac:dyDescent="0.25">
      <c r="A52" s="51">
        <v>46</v>
      </c>
      <c r="B52" s="51">
        <f t="shared" si="2"/>
        <v>13.800000000000011</v>
      </c>
      <c r="C52" s="51">
        <f t="shared" si="0"/>
        <v>0.3</v>
      </c>
      <c r="D52" s="51">
        <f t="shared" si="1"/>
        <v>0</v>
      </c>
      <c r="F52">
        <f t="shared" si="3"/>
        <v>1</v>
      </c>
      <c r="G52">
        <f t="shared" si="4"/>
        <v>0</v>
      </c>
      <c r="I52">
        <f t="shared" si="5"/>
        <v>0</v>
      </c>
    </row>
    <row r="53" spans="1:9" x14ac:dyDescent="0.25">
      <c r="A53" s="51">
        <v>47</v>
      </c>
      <c r="B53" s="51">
        <f t="shared" si="2"/>
        <v>14.100000000000012</v>
      </c>
      <c r="C53" s="51">
        <f t="shared" si="0"/>
        <v>0.3</v>
      </c>
      <c r="D53" s="51">
        <f t="shared" si="1"/>
        <v>0</v>
      </c>
      <c r="F53">
        <f t="shared" si="3"/>
        <v>1</v>
      </c>
      <c r="G53">
        <f t="shared" si="4"/>
        <v>0</v>
      </c>
      <c r="I53">
        <f t="shared" si="5"/>
        <v>0</v>
      </c>
    </row>
    <row r="54" spans="1:9" x14ac:dyDescent="0.25">
      <c r="A54" s="51">
        <v>48</v>
      </c>
      <c r="B54" s="51">
        <f t="shared" si="2"/>
        <v>14.400000000000013</v>
      </c>
      <c r="C54" s="51">
        <f t="shared" si="0"/>
        <v>0.3</v>
      </c>
      <c r="D54" s="51">
        <f t="shared" si="1"/>
        <v>0</v>
      </c>
      <c r="F54">
        <f t="shared" si="3"/>
        <v>1</v>
      </c>
      <c r="G54">
        <f t="shared" si="4"/>
        <v>0</v>
      </c>
      <c r="I54">
        <f t="shared" si="5"/>
        <v>0</v>
      </c>
    </row>
    <row r="55" spans="1:9" x14ac:dyDescent="0.25">
      <c r="A55" s="51">
        <v>49</v>
      </c>
      <c r="B55" s="51">
        <f t="shared" si="2"/>
        <v>14.700000000000014</v>
      </c>
      <c r="C55" s="51">
        <f t="shared" si="0"/>
        <v>0.3</v>
      </c>
      <c r="D55" s="51">
        <f t="shared" si="1"/>
        <v>0</v>
      </c>
      <c r="F55">
        <f t="shared" si="3"/>
        <v>1</v>
      </c>
      <c r="G55">
        <f t="shared" si="4"/>
        <v>0</v>
      </c>
      <c r="I55">
        <f t="shared" si="5"/>
        <v>0</v>
      </c>
    </row>
    <row r="56" spans="1:9" x14ac:dyDescent="0.25">
      <c r="A56" s="51">
        <v>50</v>
      </c>
      <c r="B56" s="51">
        <f t="shared" si="2"/>
        <v>15.000000000000014</v>
      </c>
      <c r="C56" s="51">
        <f t="shared" si="0"/>
        <v>0.3</v>
      </c>
      <c r="D56" s="51">
        <f t="shared" si="1"/>
        <v>0</v>
      </c>
      <c r="F56">
        <f t="shared" si="3"/>
        <v>1</v>
      </c>
      <c r="G56">
        <f t="shared" si="4"/>
        <v>0</v>
      </c>
      <c r="I56">
        <f t="shared" si="5"/>
        <v>0</v>
      </c>
    </row>
    <row r="57" spans="1:9" x14ac:dyDescent="0.25">
      <c r="A57" s="51">
        <v>51</v>
      </c>
      <c r="B57" s="51">
        <f t="shared" si="2"/>
        <v>15.300000000000015</v>
      </c>
      <c r="C57" s="51">
        <f t="shared" si="0"/>
        <v>0.3</v>
      </c>
      <c r="D57" s="51">
        <f t="shared" si="1"/>
        <v>0</v>
      </c>
      <c r="F57">
        <f t="shared" si="3"/>
        <v>1</v>
      </c>
      <c r="G57">
        <f t="shared" si="4"/>
        <v>0</v>
      </c>
      <c r="I57">
        <f t="shared" si="5"/>
        <v>0</v>
      </c>
    </row>
    <row r="58" spans="1:9" x14ac:dyDescent="0.25">
      <c r="A58" s="51">
        <v>52</v>
      </c>
      <c r="B58" s="51">
        <f t="shared" si="2"/>
        <v>15.600000000000016</v>
      </c>
      <c r="C58" s="51">
        <f t="shared" si="0"/>
        <v>0.3</v>
      </c>
      <c r="D58" s="51">
        <f t="shared" si="1"/>
        <v>0</v>
      </c>
      <c r="F58">
        <f t="shared" si="3"/>
        <v>1</v>
      </c>
      <c r="G58">
        <f t="shared" si="4"/>
        <v>0</v>
      </c>
      <c r="I58">
        <f t="shared" si="5"/>
        <v>0</v>
      </c>
    </row>
    <row r="59" spans="1:9" x14ac:dyDescent="0.25">
      <c r="A59" s="51">
        <v>53</v>
      </c>
      <c r="B59" s="51">
        <f t="shared" si="2"/>
        <v>15.900000000000016</v>
      </c>
      <c r="C59" s="51">
        <f t="shared" si="0"/>
        <v>0.3</v>
      </c>
      <c r="D59" s="51">
        <f t="shared" si="1"/>
        <v>0</v>
      </c>
      <c r="F59">
        <f t="shared" si="3"/>
        <v>1</v>
      </c>
      <c r="G59">
        <f t="shared" si="4"/>
        <v>0</v>
      </c>
      <c r="I59">
        <f t="shared" si="5"/>
        <v>0</v>
      </c>
    </row>
    <row r="60" spans="1:9" x14ac:dyDescent="0.25">
      <c r="A60" s="51">
        <v>54</v>
      </c>
      <c r="B60" s="51">
        <f t="shared" si="2"/>
        <v>16.200000000000017</v>
      </c>
      <c r="C60" s="51">
        <f t="shared" si="0"/>
        <v>0.3</v>
      </c>
      <c r="D60" s="51">
        <f t="shared" si="1"/>
        <v>0</v>
      </c>
      <c r="F60">
        <f t="shared" si="3"/>
        <v>1</v>
      </c>
      <c r="G60">
        <f t="shared" si="4"/>
        <v>0</v>
      </c>
      <c r="I60">
        <f t="shared" si="5"/>
        <v>0</v>
      </c>
    </row>
    <row r="61" spans="1:9" x14ac:dyDescent="0.25">
      <c r="A61" s="51">
        <v>55</v>
      </c>
      <c r="B61" s="51">
        <f t="shared" si="2"/>
        <v>16.500000000000018</v>
      </c>
      <c r="C61" s="51">
        <f t="shared" si="0"/>
        <v>0.3</v>
      </c>
      <c r="D61" s="51">
        <f t="shared" si="1"/>
        <v>0</v>
      </c>
      <c r="F61">
        <f t="shared" si="3"/>
        <v>1</v>
      </c>
      <c r="G61">
        <f t="shared" si="4"/>
        <v>0</v>
      </c>
      <c r="I61">
        <f t="shared" si="5"/>
        <v>0</v>
      </c>
    </row>
    <row r="62" spans="1:9" x14ac:dyDescent="0.25">
      <c r="A62" s="51">
        <v>56</v>
      </c>
      <c r="B62" s="51">
        <f t="shared" si="2"/>
        <v>16.800000000000018</v>
      </c>
      <c r="C62" s="51">
        <f t="shared" si="0"/>
        <v>0.3</v>
      </c>
      <c r="D62" s="51">
        <f t="shared" si="1"/>
        <v>0</v>
      </c>
      <c r="F62">
        <f t="shared" si="3"/>
        <v>1</v>
      </c>
      <c r="G62">
        <f t="shared" si="4"/>
        <v>0</v>
      </c>
      <c r="I62">
        <f t="shared" si="5"/>
        <v>0</v>
      </c>
    </row>
    <row r="63" spans="1:9" x14ac:dyDescent="0.25">
      <c r="A63" s="51">
        <v>57</v>
      </c>
      <c r="B63" s="51">
        <f t="shared" si="2"/>
        <v>17.100000000000019</v>
      </c>
      <c r="C63" s="51">
        <f t="shared" si="0"/>
        <v>0.3</v>
      </c>
      <c r="D63" s="51">
        <f t="shared" si="1"/>
        <v>0</v>
      </c>
      <c r="F63">
        <f t="shared" si="3"/>
        <v>1</v>
      </c>
      <c r="G63">
        <f t="shared" si="4"/>
        <v>0</v>
      </c>
      <c r="I63">
        <f t="shared" si="5"/>
        <v>0</v>
      </c>
    </row>
    <row r="64" spans="1:9" x14ac:dyDescent="0.25">
      <c r="A64" s="51">
        <v>58</v>
      </c>
      <c r="B64" s="51">
        <f t="shared" si="2"/>
        <v>17.40000000000002</v>
      </c>
      <c r="C64" s="51">
        <f t="shared" si="0"/>
        <v>0.3</v>
      </c>
      <c r="D64" s="51">
        <f t="shared" si="1"/>
        <v>0</v>
      </c>
      <c r="F64">
        <f t="shared" si="3"/>
        <v>1</v>
      </c>
      <c r="G64">
        <f t="shared" si="4"/>
        <v>0</v>
      </c>
      <c r="I64">
        <f t="shared" si="5"/>
        <v>0</v>
      </c>
    </row>
    <row r="65" spans="1:9" x14ac:dyDescent="0.25">
      <c r="A65" s="51">
        <v>59</v>
      </c>
      <c r="B65" s="51">
        <f t="shared" si="2"/>
        <v>17.700000000000021</v>
      </c>
      <c r="C65" s="51">
        <f t="shared" si="0"/>
        <v>0.3</v>
      </c>
      <c r="D65" s="51">
        <f t="shared" si="1"/>
        <v>0</v>
      </c>
      <c r="F65">
        <f t="shared" si="3"/>
        <v>1</v>
      </c>
      <c r="G65">
        <f t="shared" si="4"/>
        <v>0</v>
      </c>
      <c r="I65">
        <f t="shared" si="5"/>
        <v>0</v>
      </c>
    </row>
    <row r="66" spans="1:9" x14ac:dyDescent="0.25">
      <c r="A66" s="51">
        <v>60</v>
      </c>
      <c r="B66" s="51">
        <f t="shared" si="2"/>
        <v>18.000000000000021</v>
      </c>
      <c r="C66" s="51">
        <f t="shared" si="0"/>
        <v>0.3</v>
      </c>
      <c r="D66" s="51">
        <f t="shared" si="1"/>
        <v>0</v>
      </c>
      <c r="F66">
        <f t="shared" si="3"/>
        <v>1</v>
      </c>
      <c r="G66">
        <f t="shared" si="4"/>
        <v>0</v>
      </c>
      <c r="I66">
        <f t="shared" si="5"/>
        <v>0</v>
      </c>
    </row>
    <row r="67" spans="1:9" x14ac:dyDescent="0.25">
      <c r="A67" s="51">
        <v>61</v>
      </c>
      <c r="B67" s="51">
        <f t="shared" si="2"/>
        <v>18.300000000000022</v>
      </c>
      <c r="C67" s="51">
        <f t="shared" si="0"/>
        <v>0.3</v>
      </c>
      <c r="D67" s="51">
        <f t="shared" si="1"/>
        <v>0</v>
      </c>
      <c r="F67">
        <f t="shared" si="3"/>
        <v>1</v>
      </c>
      <c r="G67">
        <f t="shared" si="4"/>
        <v>0</v>
      </c>
      <c r="I67">
        <f t="shared" si="5"/>
        <v>0</v>
      </c>
    </row>
    <row r="68" spans="1:9" x14ac:dyDescent="0.25">
      <c r="A68" s="51">
        <v>62</v>
      </c>
      <c r="B68" s="51">
        <f t="shared" si="2"/>
        <v>18.600000000000023</v>
      </c>
      <c r="C68" s="51">
        <f t="shared" si="0"/>
        <v>0.3</v>
      </c>
      <c r="D68" s="51">
        <f t="shared" si="1"/>
        <v>0</v>
      </c>
      <c r="F68">
        <f t="shared" si="3"/>
        <v>1</v>
      </c>
      <c r="G68">
        <f t="shared" si="4"/>
        <v>0</v>
      </c>
      <c r="I68">
        <f t="shared" si="5"/>
        <v>0</v>
      </c>
    </row>
    <row r="69" spans="1:9" x14ac:dyDescent="0.25">
      <c r="A69" s="51">
        <v>63</v>
      </c>
      <c r="B69" s="51">
        <f t="shared" si="2"/>
        <v>18.900000000000023</v>
      </c>
      <c r="C69" s="51">
        <f t="shared" si="0"/>
        <v>0.3</v>
      </c>
      <c r="D69" s="51">
        <f t="shared" si="1"/>
        <v>0</v>
      </c>
      <c r="F69">
        <f t="shared" si="3"/>
        <v>1</v>
      </c>
      <c r="G69">
        <f t="shared" si="4"/>
        <v>0</v>
      </c>
      <c r="I69">
        <f t="shared" si="5"/>
        <v>0</v>
      </c>
    </row>
    <row r="70" spans="1:9" x14ac:dyDescent="0.25">
      <c r="A70" s="51">
        <v>64</v>
      </c>
      <c r="B70" s="51">
        <f t="shared" si="2"/>
        <v>19.200000000000024</v>
      </c>
      <c r="C70" s="51">
        <f t="shared" si="0"/>
        <v>0.3</v>
      </c>
      <c r="D70" s="51">
        <f t="shared" si="1"/>
        <v>0</v>
      </c>
      <c r="F70">
        <f t="shared" si="3"/>
        <v>1</v>
      </c>
      <c r="G70">
        <f t="shared" si="4"/>
        <v>0</v>
      </c>
      <c r="I70">
        <f t="shared" si="5"/>
        <v>0</v>
      </c>
    </row>
    <row r="71" spans="1:9" x14ac:dyDescent="0.25">
      <c r="A71" s="51">
        <v>65</v>
      </c>
      <c r="B71" s="51">
        <f t="shared" si="2"/>
        <v>19.500000000000025</v>
      </c>
      <c r="C71" s="51">
        <f t="shared" si="0"/>
        <v>0.3</v>
      </c>
      <c r="D71" s="51">
        <f t="shared" si="1"/>
        <v>0</v>
      </c>
      <c r="F71">
        <f t="shared" si="3"/>
        <v>1</v>
      </c>
      <c r="G71">
        <f t="shared" si="4"/>
        <v>0</v>
      </c>
      <c r="I71">
        <f t="shared" si="5"/>
        <v>0</v>
      </c>
    </row>
    <row r="72" spans="1:9" x14ac:dyDescent="0.25">
      <c r="A72" s="51">
        <v>66</v>
      </c>
      <c r="B72" s="51">
        <f t="shared" si="2"/>
        <v>19.800000000000026</v>
      </c>
      <c r="C72" s="51">
        <f t="shared" ref="C72:C135" si="6">F72*$G$3+G72*$G$4</f>
        <v>0.3</v>
      </c>
      <c r="D72" s="51">
        <f t="shared" ref="D72:D135" si="7">I72*$J$3</f>
        <v>0</v>
      </c>
      <c r="F72">
        <f t="shared" si="3"/>
        <v>1</v>
      </c>
      <c r="G72">
        <f t="shared" si="4"/>
        <v>0</v>
      </c>
      <c r="I72">
        <f t="shared" si="5"/>
        <v>0</v>
      </c>
    </row>
    <row r="73" spans="1:9" x14ac:dyDescent="0.25">
      <c r="A73" s="51">
        <v>67</v>
      </c>
      <c r="B73" s="51">
        <f t="shared" si="2"/>
        <v>20.100000000000026</v>
      </c>
      <c r="C73" s="51">
        <f t="shared" si="6"/>
        <v>0.3</v>
      </c>
      <c r="D73" s="51">
        <f t="shared" si="7"/>
        <v>0</v>
      </c>
      <c r="F73">
        <f t="shared" si="3"/>
        <v>1</v>
      </c>
      <c r="G73">
        <f t="shared" si="4"/>
        <v>0</v>
      </c>
      <c r="I73">
        <f t="shared" si="5"/>
        <v>0</v>
      </c>
    </row>
    <row r="74" spans="1:9" x14ac:dyDescent="0.25">
      <c r="A74" s="51">
        <v>68</v>
      </c>
      <c r="B74" s="51">
        <f t="shared" ref="B74:B137" si="8">B73+C74-D74</f>
        <v>20.400000000000027</v>
      </c>
      <c r="C74" s="51">
        <f t="shared" si="6"/>
        <v>0.3</v>
      </c>
      <c r="D74" s="51">
        <f t="shared" si="7"/>
        <v>0</v>
      </c>
      <c r="F74">
        <f t="shared" ref="F74:F137" si="9">F73</f>
        <v>1</v>
      </c>
      <c r="G74">
        <f t="shared" ref="G74:G137" si="10">G73</f>
        <v>0</v>
      </c>
      <c r="I74">
        <f t="shared" ref="I74:I137" si="11">I73</f>
        <v>0</v>
      </c>
    </row>
    <row r="75" spans="1:9" x14ac:dyDescent="0.25">
      <c r="A75" s="51">
        <v>69</v>
      </c>
      <c r="B75" s="51">
        <f t="shared" si="8"/>
        <v>20.700000000000028</v>
      </c>
      <c r="C75" s="51">
        <f t="shared" si="6"/>
        <v>0.3</v>
      </c>
      <c r="D75" s="51">
        <f t="shared" si="7"/>
        <v>0</v>
      </c>
      <c r="F75">
        <f t="shared" si="9"/>
        <v>1</v>
      </c>
      <c r="G75">
        <f t="shared" si="10"/>
        <v>0</v>
      </c>
      <c r="I75">
        <f t="shared" si="11"/>
        <v>0</v>
      </c>
    </row>
    <row r="76" spans="1:9" x14ac:dyDescent="0.25">
      <c r="A76" s="51">
        <v>70</v>
      </c>
      <c r="B76" s="51">
        <f t="shared" si="8"/>
        <v>21.000000000000028</v>
      </c>
      <c r="C76" s="51">
        <f t="shared" si="6"/>
        <v>0.3</v>
      </c>
      <c r="D76" s="51">
        <f t="shared" si="7"/>
        <v>0</v>
      </c>
      <c r="F76">
        <f t="shared" si="9"/>
        <v>1</v>
      </c>
      <c r="G76">
        <f t="shared" si="10"/>
        <v>0</v>
      </c>
      <c r="I76">
        <f t="shared" si="11"/>
        <v>0</v>
      </c>
    </row>
    <row r="77" spans="1:9" x14ac:dyDescent="0.25">
      <c r="A77" s="51">
        <v>71</v>
      </c>
      <c r="B77" s="51">
        <f t="shared" si="8"/>
        <v>21.300000000000029</v>
      </c>
      <c r="C77" s="51">
        <f t="shared" si="6"/>
        <v>0.3</v>
      </c>
      <c r="D77" s="51">
        <f t="shared" si="7"/>
        <v>0</v>
      </c>
      <c r="F77">
        <f t="shared" si="9"/>
        <v>1</v>
      </c>
      <c r="G77">
        <f t="shared" si="10"/>
        <v>0</v>
      </c>
      <c r="I77">
        <f t="shared" si="11"/>
        <v>0</v>
      </c>
    </row>
    <row r="78" spans="1:9" x14ac:dyDescent="0.25">
      <c r="A78" s="51">
        <v>72</v>
      </c>
      <c r="B78" s="51">
        <f t="shared" si="8"/>
        <v>21.60000000000003</v>
      </c>
      <c r="C78" s="51">
        <f t="shared" si="6"/>
        <v>0.3</v>
      </c>
      <c r="D78" s="51">
        <f t="shared" si="7"/>
        <v>0</v>
      </c>
      <c r="F78">
        <f t="shared" si="9"/>
        <v>1</v>
      </c>
      <c r="G78">
        <f t="shared" si="10"/>
        <v>0</v>
      </c>
      <c r="I78">
        <f t="shared" si="11"/>
        <v>0</v>
      </c>
    </row>
    <row r="79" spans="1:9" x14ac:dyDescent="0.25">
      <c r="A79" s="51">
        <v>73</v>
      </c>
      <c r="B79" s="51">
        <f t="shared" si="8"/>
        <v>21.900000000000031</v>
      </c>
      <c r="C79" s="51">
        <f t="shared" si="6"/>
        <v>0.3</v>
      </c>
      <c r="D79" s="51">
        <f t="shared" si="7"/>
        <v>0</v>
      </c>
      <c r="F79">
        <f t="shared" si="9"/>
        <v>1</v>
      </c>
      <c r="G79">
        <f t="shared" si="10"/>
        <v>0</v>
      </c>
      <c r="I79">
        <f t="shared" si="11"/>
        <v>0</v>
      </c>
    </row>
    <row r="80" spans="1:9" x14ac:dyDescent="0.25">
      <c r="A80" s="51">
        <v>74</v>
      </c>
      <c r="B80" s="51">
        <f t="shared" si="8"/>
        <v>22.200000000000031</v>
      </c>
      <c r="C80" s="51">
        <f t="shared" si="6"/>
        <v>0.3</v>
      </c>
      <c r="D80" s="51">
        <f t="shared" si="7"/>
        <v>0</v>
      </c>
      <c r="F80">
        <f t="shared" si="9"/>
        <v>1</v>
      </c>
      <c r="G80">
        <f t="shared" si="10"/>
        <v>0</v>
      </c>
      <c r="I80">
        <f t="shared" si="11"/>
        <v>0</v>
      </c>
    </row>
    <row r="81" spans="1:9" x14ac:dyDescent="0.25">
      <c r="A81" s="51">
        <v>75</v>
      </c>
      <c r="B81" s="51">
        <f t="shared" si="8"/>
        <v>22.500000000000032</v>
      </c>
      <c r="C81" s="51">
        <f t="shared" si="6"/>
        <v>0.3</v>
      </c>
      <c r="D81" s="51">
        <f t="shared" si="7"/>
        <v>0</v>
      </c>
      <c r="F81">
        <f t="shared" si="9"/>
        <v>1</v>
      </c>
      <c r="G81">
        <f t="shared" si="10"/>
        <v>0</v>
      </c>
      <c r="I81">
        <f t="shared" si="11"/>
        <v>0</v>
      </c>
    </row>
    <row r="82" spans="1:9" x14ac:dyDescent="0.25">
      <c r="A82" s="51">
        <v>76</v>
      </c>
      <c r="B82" s="51">
        <f t="shared" si="8"/>
        <v>22.800000000000033</v>
      </c>
      <c r="C82" s="51">
        <f t="shared" si="6"/>
        <v>0.3</v>
      </c>
      <c r="D82" s="51">
        <f t="shared" si="7"/>
        <v>0</v>
      </c>
      <c r="F82">
        <f t="shared" si="9"/>
        <v>1</v>
      </c>
      <c r="G82">
        <f t="shared" si="10"/>
        <v>0</v>
      </c>
      <c r="I82">
        <f t="shared" si="11"/>
        <v>0</v>
      </c>
    </row>
    <row r="83" spans="1:9" x14ac:dyDescent="0.25">
      <c r="A83" s="51">
        <v>77</v>
      </c>
      <c r="B83" s="51">
        <f t="shared" si="8"/>
        <v>23.100000000000033</v>
      </c>
      <c r="C83" s="51">
        <f t="shared" si="6"/>
        <v>0.3</v>
      </c>
      <c r="D83" s="51">
        <f t="shared" si="7"/>
        <v>0</v>
      </c>
      <c r="F83">
        <f t="shared" si="9"/>
        <v>1</v>
      </c>
      <c r="G83">
        <f t="shared" si="10"/>
        <v>0</v>
      </c>
      <c r="I83">
        <f t="shared" si="11"/>
        <v>0</v>
      </c>
    </row>
    <row r="84" spans="1:9" x14ac:dyDescent="0.25">
      <c r="A84" s="51">
        <v>78</v>
      </c>
      <c r="B84" s="51">
        <f t="shared" si="8"/>
        <v>23.400000000000034</v>
      </c>
      <c r="C84" s="51">
        <f t="shared" si="6"/>
        <v>0.3</v>
      </c>
      <c r="D84" s="51">
        <f t="shared" si="7"/>
        <v>0</v>
      </c>
      <c r="F84">
        <f t="shared" si="9"/>
        <v>1</v>
      </c>
      <c r="G84">
        <f t="shared" si="10"/>
        <v>0</v>
      </c>
      <c r="I84">
        <f t="shared" si="11"/>
        <v>0</v>
      </c>
    </row>
    <row r="85" spans="1:9" x14ac:dyDescent="0.25">
      <c r="A85" s="51">
        <v>79</v>
      </c>
      <c r="B85" s="51">
        <f t="shared" si="8"/>
        <v>23.700000000000035</v>
      </c>
      <c r="C85" s="51">
        <f t="shared" si="6"/>
        <v>0.3</v>
      </c>
      <c r="D85" s="51">
        <f t="shared" si="7"/>
        <v>0</v>
      </c>
      <c r="F85">
        <f t="shared" si="9"/>
        <v>1</v>
      </c>
      <c r="G85">
        <f t="shared" si="10"/>
        <v>0</v>
      </c>
      <c r="I85">
        <f t="shared" si="11"/>
        <v>0</v>
      </c>
    </row>
    <row r="86" spans="1:9" x14ac:dyDescent="0.25">
      <c r="A86" s="51">
        <v>80</v>
      </c>
      <c r="B86" s="51">
        <f t="shared" si="8"/>
        <v>24.000000000000036</v>
      </c>
      <c r="C86" s="51">
        <f t="shared" si="6"/>
        <v>0.3</v>
      </c>
      <c r="D86" s="51">
        <f t="shared" si="7"/>
        <v>0</v>
      </c>
      <c r="F86">
        <f t="shared" si="9"/>
        <v>1</v>
      </c>
      <c r="G86">
        <f t="shared" si="10"/>
        <v>0</v>
      </c>
      <c r="I86">
        <f t="shared" si="11"/>
        <v>0</v>
      </c>
    </row>
    <row r="87" spans="1:9" x14ac:dyDescent="0.25">
      <c r="A87" s="51">
        <v>81</v>
      </c>
      <c r="B87" s="51">
        <f t="shared" si="8"/>
        <v>24.300000000000036</v>
      </c>
      <c r="C87" s="51">
        <f t="shared" si="6"/>
        <v>0.3</v>
      </c>
      <c r="D87" s="51">
        <f t="shared" si="7"/>
        <v>0</v>
      </c>
      <c r="F87">
        <f t="shared" si="9"/>
        <v>1</v>
      </c>
      <c r="G87">
        <f t="shared" si="10"/>
        <v>0</v>
      </c>
      <c r="I87">
        <f t="shared" si="11"/>
        <v>0</v>
      </c>
    </row>
    <row r="88" spans="1:9" x14ac:dyDescent="0.25">
      <c r="A88" s="51">
        <v>82</v>
      </c>
      <c r="B88" s="51">
        <f t="shared" si="8"/>
        <v>24.600000000000037</v>
      </c>
      <c r="C88" s="51">
        <f t="shared" si="6"/>
        <v>0.3</v>
      </c>
      <c r="D88" s="51">
        <f t="shared" si="7"/>
        <v>0</v>
      </c>
      <c r="F88">
        <f t="shared" si="9"/>
        <v>1</v>
      </c>
      <c r="G88">
        <f t="shared" si="10"/>
        <v>0</v>
      </c>
      <c r="I88">
        <f t="shared" si="11"/>
        <v>0</v>
      </c>
    </row>
    <row r="89" spans="1:9" x14ac:dyDescent="0.25">
      <c r="A89" s="51">
        <v>83</v>
      </c>
      <c r="B89" s="51">
        <f t="shared" si="8"/>
        <v>24.900000000000038</v>
      </c>
      <c r="C89" s="51">
        <f t="shared" si="6"/>
        <v>0.3</v>
      </c>
      <c r="D89" s="51">
        <f t="shared" si="7"/>
        <v>0</v>
      </c>
      <c r="F89">
        <f t="shared" si="9"/>
        <v>1</v>
      </c>
      <c r="G89">
        <f t="shared" si="10"/>
        <v>0</v>
      </c>
      <c r="I89">
        <f t="shared" si="11"/>
        <v>0</v>
      </c>
    </row>
    <row r="90" spans="1:9" x14ac:dyDescent="0.25">
      <c r="A90" s="51">
        <v>84</v>
      </c>
      <c r="B90" s="51">
        <f t="shared" si="8"/>
        <v>25.200000000000038</v>
      </c>
      <c r="C90" s="51">
        <f t="shared" si="6"/>
        <v>0.3</v>
      </c>
      <c r="D90" s="51">
        <f t="shared" si="7"/>
        <v>0</v>
      </c>
      <c r="F90">
        <f t="shared" si="9"/>
        <v>1</v>
      </c>
      <c r="G90">
        <f t="shared" si="10"/>
        <v>0</v>
      </c>
      <c r="I90">
        <f t="shared" si="11"/>
        <v>0</v>
      </c>
    </row>
    <row r="91" spans="1:9" x14ac:dyDescent="0.25">
      <c r="A91" s="51">
        <v>85</v>
      </c>
      <c r="B91" s="51">
        <f t="shared" si="8"/>
        <v>25.500000000000039</v>
      </c>
      <c r="C91" s="51">
        <f t="shared" si="6"/>
        <v>0.3</v>
      </c>
      <c r="D91" s="51">
        <f t="shared" si="7"/>
        <v>0</v>
      </c>
      <c r="F91">
        <f t="shared" si="9"/>
        <v>1</v>
      </c>
      <c r="G91">
        <f t="shared" si="10"/>
        <v>0</v>
      </c>
      <c r="I91">
        <f t="shared" si="11"/>
        <v>0</v>
      </c>
    </row>
    <row r="92" spans="1:9" x14ac:dyDescent="0.25">
      <c r="A92" s="51">
        <v>86</v>
      </c>
      <c r="B92" s="51">
        <f t="shared" si="8"/>
        <v>25.80000000000004</v>
      </c>
      <c r="C92" s="51">
        <f t="shared" si="6"/>
        <v>0.3</v>
      </c>
      <c r="D92" s="51">
        <f t="shared" si="7"/>
        <v>0</v>
      </c>
      <c r="F92">
        <f t="shared" si="9"/>
        <v>1</v>
      </c>
      <c r="G92">
        <f t="shared" si="10"/>
        <v>0</v>
      </c>
      <c r="I92">
        <f t="shared" si="11"/>
        <v>0</v>
      </c>
    </row>
    <row r="93" spans="1:9" x14ac:dyDescent="0.25">
      <c r="A93" s="51">
        <v>87</v>
      </c>
      <c r="B93" s="51">
        <f t="shared" si="8"/>
        <v>26.100000000000041</v>
      </c>
      <c r="C93" s="51">
        <f t="shared" si="6"/>
        <v>0.3</v>
      </c>
      <c r="D93" s="51">
        <f t="shared" si="7"/>
        <v>0</v>
      </c>
      <c r="F93">
        <f t="shared" si="9"/>
        <v>1</v>
      </c>
      <c r="G93">
        <f t="shared" si="10"/>
        <v>0</v>
      </c>
      <c r="I93">
        <f t="shared" si="11"/>
        <v>0</v>
      </c>
    </row>
    <row r="94" spans="1:9" x14ac:dyDescent="0.25">
      <c r="A94" s="51">
        <v>88</v>
      </c>
      <c r="B94" s="51">
        <f t="shared" si="8"/>
        <v>26.400000000000041</v>
      </c>
      <c r="C94" s="51">
        <f t="shared" si="6"/>
        <v>0.3</v>
      </c>
      <c r="D94" s="51">
        <f t="shared" si="7"/>
        <v>0</v>
      </c>
      <c r="F94">
        <f t="shared" si="9"/>
        <v>1</v>
      </c>
      <c r="G94">
        <f t="shared" si="10"/>
        <v>0</v>
      </c>
      <c r="I94">
        <f t="shared" si="11"/>
        <v>0</v>
      </c>
    </row>
    <row r="95" spans="1:9" x14ac:dyDescent="0.25">
      <c r="A95" s="51">
        <v>89</v>
      </c>
      <c r="B95" s="51">
        <f t="shared" si="8"/>
        <v>26.700000000000042</v>
      </c>
      <c r="C95" s="51">
        <f t="shared" si="6"/>
        <v>0.3</v>
      </c>
      <c r="D95" s="51">
        <f t="shared" si="7"/>
        <v>0</v>
      </c>
      <c r="F95">
        <f t="shared" si="9"/>
        <v>1</v>
      </c>
      <c r="G95">
        <f t="shared" si="10"/>
        <v>0</v>
      </c>
      <c r="I95">
        <f t="shared" si="11"/>
        <v>0</v>
      </c>
    </row>
    <row r="96" spans="1:9" x14ac:dyDescent="0.25">
      <c r="A96" s="51">
        <v>90</v>
      </c>
      <c r="B96" s="51">
        <f t="shared" si="8"/>
        <v>27.000000000000043</v>
      </c>
      <c r="C96" s="51">
        <f t="shared" si="6"/>
        <v>0.3</v>
      </c>
      <c r="D96" s="51">
        <f t="shared" si="7"/>
        <v>0</v>
      </c>
      <c r="F96">
        <f t="shared" si="9"/>
        <v>1</v>
      </c>
      <c r="G96">
        <f t="shared" si="10"/>
        <v>0</v>
      </c>
      <c r="I96">
        <f t="shared" si="11"/>
        <v>0</v>
      </c>
    </row>
    <row r="97" spans="1:9" x14ac:dyDescent="0.25">
      <c r="A97" s="51">
        <v>91</v>
      </c>
      <c r="B97" s="51">
        <f t="shared" si="8"/>
        <v>27.300000000000043</v>
      </c>
      <c r="C97" s="51">
        <f t="shared" si="6"/>
        <v>0.3</v>
      </c>
      <c r="D97" s="51">
        <f t="shared" si="7"/>
        <v>0</v>
      </c>
      <c r="F97">
        <f t="shared" si="9"/>
        <v>1</v>
      </c>
      <c r="G97">
        <f t="shared" si="10"/>
        <v>0</v>
      </c>
      <c r="I97">
        <f t="shared" si="11"/>
        <v>0</v>
      </c>
    </row>
    <row r="98" spans="1:9" x14ac:dyDescent="0.25">
      <c r="A98" s="51">
        <v>92</v>
      </c>
      <c r="B98" s="51">
        <f t="shared" si="8"/>
        <v>27.600000000000044</v>
      </c>
      <c r="C98" s="51">
        <f t="shared" si="6"/>
        <v>0.3</v>
      </c>
      <c r="D98" s="51">
        <f t="shared" si="7"/>
        <v>0</v>
      </c>
      <c r="F98">
        <f t="shared" si="9"/>
        <v>1</v>
      </c>
      <c r="G98">
        <f t="shared" si="10"/>
        <v>0</v>
      </c>
      <c r="I98">
        <f t="shared" si="11"/>
        <v>0</v>
      </c>
    </row>
    <row r="99" spans="1:9" x14ac:dyDescent="0.25">
      <c r="A99" s="51">
        <v>93</v>
      </c>
      <c r="B99" s="51">
        <f t="shared" si="8"/>
        <v>27.900000000000045</v>
      </c>
      <c r="C99" s="51">
        <f t="shared" si="6"/>
        <v>0.3</v>
      </c>
      <c r="D99" s="51">
        <f t="shared" si="7"/>
        <v>0</v>
      </c>
      <c r="F99">
        <f t="shared" si="9"/>
        <v>1</v>
      </c>
      <c r="G99">
        <f t="shared" si="10"/>
        <v>0</v>
      </c>
      <c r="I99">
        <f t="shared" si="11"/>
        <v>0</v>
      </c>
    </row>
    <row r="100" spans="1:9" x14ac:dyDescent="0.25">
      <c r="A100" s="51">
        <v>94</v>
      </c>
      <c r="B100" s="51">
        <f t="shared" si="8"/>
        <v>28.200000000000045</v>
      </c>
      <c r="C100" s="51">
        <f t="shared" si="6"/>
        <v>0.3</v>
      </c>
      <c r="D100" s="51">
        <f t="shared" si="7"/>
        <v>0</v>
      </c>
      <c r="F100">
        <f t="shared" si="9"/>
        <v>1</v>
      </c>
      <c r="G100">
        <f t="shared" si="10"/>
        <v>0</v>
      </c>
      <c r="I100">
        <f t="shared" si="11"/>
        <v>0</v>
      </c>
    </row>
    <row r="101" spans="1:9" x14ac:dyDescent="0.25">
      <c r="A101" s="51">
        <v>95</v>
      </c>
      <c r="B101" s="51">
        <f t="shared" si="8"/>
        <v>28.500000000000046</v>
      </c>
      <c r="C101" s="51">
        <f t="shared" si="6"/>
        <v>0.3</v>
      </c>
      <c r="D101" s="51">
        <f t="shared" si="7"/>
        <v>0</v>
      </c>
      <c r="F101">
        <f t="shared" si="9"/>
        <v>1</v>
      </c>
      <c r="G101">
        <f t="shared" si="10"/>
        <v>0</v>
      </c>
      <c r="I101">
        <f t="shared" si="11"/>
        <v>0</v>
      </c>
    </row>
    <row r="102" spans="1:9" x14ac:dyDescent="0.25">
      <c r="A102" s="51">
        <v>96</v>
      </c>
      <c r="B102" s="51">
        <f t="shared" si="8"/>
        <v>28.800000000000047</v>
      </c>
      <c r="C102" s="51">
        <f t="shared" si="6"/>
        <v>0.3</v>
      </c>
      <c r="D102" s="51">
        <f t="shared" si="7"/>
        <v>0</v>
      </c>
      <c r="F102">
        <f t="shared" si="9"/>
        <v>1</v>
      </c>
      <c r="G102">
        <f t="shared" si="10"/>
        <v>0</v>
      </c>
      <c r="I102">
        <f t="shared" si="11"/>
        <v>0</v>
      </c>
    </row>
    <row r="103" spans="1:9" x14ac:dyDescent="0.25">
      <c r="A103" s="51">
        <v>97</v>
      </c>
      <c r="B103" s="51">
        <f t="shared" si="8"/>
        <v>29.100000000000048</v>
      </c>
      <c r="C103" s="51">
        <f t="shared" si="6"/>
        <v>0.3</v>
      </c>
      <c r="D103" s="51">
        <f t="shared" si="7"/>
        <v>0</v>
      </c>
      <c r="F103">
        <f t="shared" si="9"/>
        <v>1</v>
      </c>
      <c r="G103">
        <f t="shared" si="10"/>
        <v>0</v>
      </c>
      <c r="I103">
        <f t="shared" si="11"/>
        <v>0</v>
      </c>
    </row>
    <row r="104" spans="1:9" x14ac:dyDescent="0.25">
      <c r="A104" s="51">
        <v>98</v>
      </c>
      <c r="B104" s="51">
        <f t="shared" si="8"/>
        <v>29.400000000000048</v>
      </c>
      <c r="C104" s="51">
        <f t="shared" si="6"/>
        <v>0.3</v>
      </c>
      <c r="D104" s="51">
        <f t="shared" si="7"/>
        <v>0</v>
      </c>
      <c r="F104">
        <f t="shared" si="9"/>
        <v>1</v>
      </c>
      <c r="G104">
        <f t="shared" si="10"/>
        <v>0</v>
      </c>
      <c r="I104">
        <f t="shared" si="11"/>
        <v>0</v>
      </c>
    </row>
    <row r="105" spans="1:9" x14ac:dyDescent="0.25">
      <c r="A105" s="51">
        <v>99</v>
      </c>
      <c r="B105" s="51">
        <f t="shared" si="8"/>
        <v>29.700000000000049</v>
      </c>
      <c r="C105" s="51">
        <f t="shared" si="6"/>
        <v>0.3</v>
      </c>
      <c r="D105" s="51">
        <f t="shared" si="7"/>
        <v>0</v>
      </c>
      <c r="F105">
        <f t="shared" si="9"/>
        <v>1</v>
      </c>
      <c r="G105">
        <f t="shared" si="10"/>
        <v>0</v>
      </c>
      <c r="I105">
        <f t="shared" si="11"/>
        <v>0</v>
      </c>
    </row>
    <row r="106" spans="1:9" x14ac:dyDescent="0.25">
      <c r="A106" s="51">
        <v>100</v>
      </c>
      <c r="B106" s="51">
        <f t="shared" si="8"/>
        <v>30.00000000000005</v>
      </c>
      <c r="C106" s="51">
        <f t="shared" si="6"/>
        <v>0.3</v>
      </c>
      <c r="D106" s="51">
        <f t="shared" si="7"/>
        <v>0</v>
      </c>
      <c r="F106">
        <f t="shared" si="9"/>
        <v>1</v>
      </c>
      <c r="G106">
        <f t="shared" si="10"/>
        <v>0</v>
      </c>
      <c r="I106">
        <f t="shared" si="11"/>
        <v>0</v>
      </c>
    </row>
    <row r="107" spans="1:9" x14ac:dyDescent="0.25">
      <c r="A107" s="51">
        <v>101</v>
      </c>
      <c r="B107" s="51">
        <f t="shared" si="8"/>
        <v>30.30000000000005</v>
      </c>
      <c r="C107" s="51">
        <f t="shared" si="6"/>
        <v>0.3</v>
      </c>
      <c r="D107" s="51">
        <f t="shared" si="7"/>
        <v>0</v>
      </c>
      <c r="F107">
        <f t="shared" si="9"/>
        <v>1</v>
      </c>
      <c r="G107">
        <f t="shared" si="10"/>
        <v>0</v>
      </c>
      <c r="I107">
        <f t="shared" si="11"/>
        <v>0</v>
      </c>
    </row>
    <row r="108" spans="1:9" x14ac:dyDescent="0.25">
      <c r="A108" s="51">
        <v>102</v>
      </c>
      <c r="B108" s="51">
        <f t="shared" si="8"/>
        <v>30.600000000000051</v>
      </c>
      <c r="C108" s="51">
        <f t="shared" si="6"/>
        <v>0.3</v>
      </c>
      <c r="D108" s="51">
        <f t="shared" si="7"/>
        <v>0</v>
      </c>
      <c r="F108">
        <f t="shared" si="9"/>
        <v>1</v>
      </c>
      <c r="G108">
        <f t="shared" si="10"/>
        <v>0</v>
      </c>
      <c r="I108">
        <f t="shared" si="11"/>
        <v>0</v>
      </c>
    </row>
    <row r="109" spans="1:9" x14ac:dyDescent="0.25">
      <c r="A109" s="51">
        <v>103</v>
      </c>
      <c r="B109" s="51">
        <f t="shared" si="8"/>
        <v>30.900000000000052</v>
      </c>
      <c r="C109" s="51">
        <f t="shared" si="6"/>
        <v>0.3</v>
      </c>
      <c r="D109" s="51">
        <f t="shared" si="7"/>
        <v>0</v>
      </c>
      <c r="F109">
        <f t="shared" si="9"/>
        <v>1</v>
      </c>
      <c r="G109">
        <f t="shared" si="10"/>
        <v>0</v>
      </c>
      <c r="I109">
        <f t="shared" si="11"/>
        <v>0</v>
      </c>
    </row>
    <row r="110" spans="1:9" x14ac:dyDescent="0.25">
      <c r="A110" s="51">
        <v>104</v>
      </c>
      <c r="B110" s="51">
        <f t="shared" si="8"/>
        <v>31.200000000000053</v>
      </c>
      <c r="C110" s="51">
        <f t="shared" si="6"/>
        <v>0.3</v>
      </c>
      <c r="D110" s="51">
        <f t="shared" si="7"/>
        <v>0</v>
      </c>
      <c r="F110">
        <f t="shared" si="9"/>
        <v>1</v>
      </c>
      <c r="G110">
        <f t="shared" si="10"/>
        <v>0</v>
      </c>
      <c r="I110">
        <f t="shared" si="11"/>
        <v>0</v>
      </c>
    </row>
    <row r="111" spans="1:9" x14ac:dyDescent="0.25">
      <c r="A111" s="51">
        <v>105</v>
      </c>
      <c r="B111" s="51">
        <f t="shared" si="8"/>
        <v>31.500000000000053</v>
      </c>
      <c r="C111" s="51">
        <f t="shared" si="6"/>
        <v>0.3</v>
      </c>
      <c r="D111" s="51">
        <f t="shared" si="7"/>
        <v>0</v>
      </c>
      <c r="F111">
        <f t="shared" si="9"/>
        <v>1</v>
      </c>
      <c r="G111">
        <f t="shared" si="10"/>
        <v>0</v>
      </c>
      <c r="I111">
        <f t="shared" si="11"/>
        <v>0</v>
      </c>
    </row>
    <row r="112" spans="1:9" x14ac:dyDescent="0.25">
      <c r="A112" s="51">
        <v>106</v>
      </c>
      <c r="B112" s="51">
        <f t="shared" si="8"/>
        <v>31.800000000000054</v>
      </c>
      <c r="C112" s="51">
        <f t="shared" si="6"/>
        <v>0.3</v>
      </c>
      <c r="D112" s="51">
        <f t="shared" si="7"/>
        <v>0</v>
      </c>
      <c r="F112">
        <f t="shared" si="9"/>
        <v>1</v>
      </c>
      <c r="G112">
        <f t="shared" si="10"/>
        <v>0</v>
      </c>
      <c r="I112">
        <f t="shared" si="11"/>
        <v>0</v>
      </c>
    </row>
    <row r="113" spans="1:9" x14ac:dyDescent="0.25">
      <c r="A113" s="51">
        <v>107</v>
      </c>
      <c r="B113" s="51">
        <f t="shared" si="8"/>
        <v>32.100000000000051</v>
      </c>
      <c r="C113" s="51">
        <f t="shared" si="6"/>
        <v>0.3</v>
      </c>
      <c r="D113" s="51">
        <f t="shared" si="7"/>
        <v>0</v>
      </c>
      <c r="F113">
        <f t="shared" si="9"/>
        <v>1</v>
      </c>
      <c r="G113">
        <f t="shared" si="10"/>
        <v>0</v>
      </c>
      <c r="I113">
        <f t="shared" si="11"/>
        <v>0</v>
      </c>
    </row>
    <row r="114" spans="1:9" x14ac:dyDescent="0.25">
      <c r="A114" s="51">
        <v>108</v>
      </c>
      <c r="B114" s="51">
        <f t="shared" si="8"/>
        <v>32.400000000000048</v>
      </c>
      <c r="C114" s="51">
        <f t="shared" si="6"/>
        <v>0.3</v>
      </c>
      <c r="D114" s="51">
        <f t="shared" si="7"/>
        <v>0</v>
      </c>
      <c r="F114">
        <f t="shared" si="9"/>
        <v>1</v>
      </c>
      <c r="G114">
        <f t="shared" si="10"/>
        <v>0</v>
      </c>
      <c r="I114">
        <f t="shared" si="11"/>
        <v>0</v>
      </c>
    </row>
    <row r="115" spans="1:9" x14ac:dyDescent="0.25">
      <c r="A115" s="51">
        <v>109</v>
      </c>
      <c r="B115" s="51">
        <f t="shared" si="8"/>
        <v>32.700000000000045</v>
      </c>
      <c r="C115" s="51">
        <f t="shared" si="6"/>
        <v>0.3</v>
      </c>
      <c r="D115" s="51">
        <f t="shared" si="7"/>
        <v>0</v>
      </c>
      <c r="F115">
        <f t="shared" si="9"/>
        <v>1</v>
      </c>
      <c r="G115">
        <f t="shared" si="10"/>
        <v>0</v>
      </c>
      <c r="I115">
        <f t="shared" si="11"/>
        <v>0</v>
      </c>
    </row>
    <row r="116" spans="1:9" x14ac:dyDescent="0.25">
      <c r="A116" s="51">
        <v>110</v>
      </c>
      <c r="B116" s="51">
        <f t="shared" si="8"/>
        <v>33.000000000000043</v>
      </c>
      <c r="C116" s="51">
        <f t="shared" si="6"/>
        <v>0.3</v>
      </c>
      <c r="D116" s="51">
        <f t="shared" si="7"/>
        <v>0</v>
      </c>
      <c r="F116">
        <f t="shared" si="9"/>
        <v>1</v>
      </c>
      <c r="G116">
        <f t="shared" si="10"/>
        <v>0</v>
      </c>
      <c r="I116">
        <f t="shared" si="11"/>
        <v>0</v>
      </c>
    </row>
    <row r="117" spans="1:9" x14ac:dyDescent="0.25">
      <c r="A117" s="51">
        <v>111</v>
      </c>
      <c r="B117" s="51">
        <f t="shared" si="8"/>
        <v>33.30000000000004</v>
      </c>
      <c r="C117" s="51">
        <f t="shared" si="6"/>
        <v>0.3</v>
      </c>
      <c r="D117" s="51">
        <f t="shared" si="7"/>
        <v>0</v>
      </c>
      <c r="F117">
        <f t="shared" si="9"/>
        <v>1</v>
      </c>
      <c r="G117">
        <f t="shared" si="10"/>
        <v>0</v>
      </c>
      <c r="I117">
        <f t="shared" si="11"/>
        <v>0</v>
      </c>
    </row>
    <row r="118" spans="1:9" x14ac:dyDescent="0.25">
      <c r="A118" s="51">
        <v>112</v>
      </c>
      <c r="B118" s="51">
        <f t="shared" si="8"/>
        <v>33.600000000000037</v>
      </c>
      <c r="C118" s="51">
        <f t="shared" si="6"/>
        <v>0.3</v>
      </c>
      <c r="D118" s="51">
        <f t="shared" si="7"/>
        <v>0</v>
      </c>
      <c r="F118">
        <f t="shared" si="9"/>
        <v>1</v>
      </c>
      <c r="G118">
        <f t="shared" si="10"/>
        <v>0</v>
      </c>
      <c r="I118">
        <f t="shared" si="11"/>
        <v>0</v>
      </c>
    </row>
    <row r="119" spans="1:9" x14ac:dyDescent="0.25">
      <c r="A119" s="51">
        <v>113</v>
      </c>
      <c r="B119" s="51">
        <f t="shared" si="8"/>
        <v>33.900000000000034</v>
      </c>
      <c r="C119" s="51">
        <f t="shared" si="6"/>
        <v>0.3</v>
      </c>
      <c r="D119" s="51">
        <f t="shared" si="7"/>
        <v>0</v>
      </c>
      <c r="F119">
        <f t="shared" si="9"/>
        <v>1</v>
      </c>
      <c r="G119">
        <f t="shared" si="10"/>
        <v>0</v>
      </c>
      <c r="I119">
        <f t="shared" si="11"/>
        <v>0</v>
      </c>
    </row>
    <row r="120" spans="1:9" x14ac:dyDescent="0.25">
      <c r="A120" s="51">
        <v>114</v>
      </c>
      <c r="B120" s="51">
        <f t="shared" si="8"/>
        <v>34.200000000000031</v>
      </c>
      <c r="C120" s="51">
        <f t="shared" si="6"/>
        <v>0.3</v>
      </c>
      <c r="D120" s="51">
        <f t="shared" si="7"/>
        <v>0</v>
      </c>
      <c r="F120">
        <f t="shared" si="9"/>
        <v>1</v>
      </c>
      <c r="G120">
        <f t="shared" si="10"/>
        <v>0</v>
      </c>
      <c r="I120">
        <f t="shared" si="11"/>
        <v>0</v>
      </c>
    </row>
    <row r="121" spans="1:9" x14ac:dyDescent="0.25">
      <c r="A121" s="51">
        <v>115</v>
      </c>
      <c r="B121" s="51">
        <f t="shared" si="8"/>
        <v>34.500000000000028</v>
      </c>
      <c r="C121" s="51">
        <f t="shared" si="6"/>
        <v>0.3</v>
      </c>
      <c r="D121" s="51">
        <f t="shared" si="7"/>
        <v>0</v>
      </c>
      <c r="F121">
        <f t="shared" si="9"/>
        <v>1</v>
      </c>
      <c r="G121">
        <f t="shared" si="10"/>
        <v>0</v>
      </c>
      <c r="I121">
        <f t="shared" si="11"/>
        <v>0</v>
      </c>
    </row>
    <row r="122" spans="1:9" x14ac:dyDescent="0.25">
      <c r="A122" s="51">
        <v>116</v>
      </c>
      <c r="B122" s="51">
        <f t="shared" si="8"/>
        <v>34.800000000000026</v>
      </c>
      <c r="C122" s="51">
        <f t="shared" si="6"/>
        <v>0.3</v>
      </c>
      <c r="D122" s="51">
        <f t="shared" si="7"/>
        <v>0</v>
      </c>
      <c r="F122">
        <f t="shared" si="9"/>
        <v>1</v>
      </c>
      <c r="G122">
        <f t="shared" si="10"/>
        <v>0</v>
      </c>
      <c r="I122">
        <f t="shared" si="11"/>
        <v>0</v>
      </c>
    </row>
    <row r="123" spans="1:9" x14ac:dyDescent="0.25">
      <c r="A123" s="51">
        <v>117</v>
      </c>
      <c r="B123" s="51">
        <f t="shared" si="8"/>
        <v>35.100000000000023</v>
      </c>
      <c r="C123" s="51">
        <f t="shared" si="6"/>
        <v>0.3</v>
      </c>
      <c r="D123" s="51">
        <f t="shared" si="7"/>
        <v>0</v>
      </c>
      <c r="F123">
        <f t="shared" si="9"/>
        <v>1</v>
      </c>
      <c r="G123">
        <f t="shared" si="10"/>
        <v>0</v>
      </c>
      <c r="I123">
        <f t="shared" si="11"/>
        <v>0</v>
      </c>
    </row>
    <row r="124" spans="1:9" x14ac:dyDescent="0.25">
      <c r="A124" s="51">
        <v>118</v>
      </c>
      <c r="B124" s="51">
        <f t="shared" si="8"/>
        <v>35.40000000000002</v>
      </c>
      <c r="C124" s="51">
        <f t="shared" si="6"/>
        <v>0.3</v>
      </c>
      <c r="D124" s="51">
        <f t="shared" si="7"/>
        <v>0</v>
      </c>
      <c r="F124">
        <f t="shared" si="9"/>
        <v>1</v>
      </c>
      <c r="G124">
        <f t="shared" si="10"/>
        <v>0</v>
      </c>
      <c r="I124">
        <f t="shared" si="11"/>
        <v>0</v>
      </c>
    </row>
    <row r="125" spans="1:9" x14ac:dyDescent="0.25">
      <c r="A125" s="51">
        <v>119</v>
      </c>
      <c r="B125" s="51">
        <f t="shared" si="8"/>
        <v>35.700000000000017</v>
      </c>
      <c r="C125" s="51">
        <f t="shared" si="6"/>
        <v>0.3</v>
      </c>
      <c r="D125" s="51">
        <f t="shared" si="7"/>
        <v>0</v>
      </c>
      <c r="F125">
        <f t="shared" si="9"/>
        <v>1</v>
      </c>
      <c r="G125">
        <f t="shared" si="10"/>
        <v>0</v>
      </c>
      <c r="I125">
        <f t="shared" si="11"/>
        <v>0</v>
      </c>
    </row>
    <row r="126" spans="1:9" x14ac:dyDescent="0.25">
      <c r="A126" s="51">
        <v>120</v>
      </c>
      <c r="B126" s="51">
        <f t="shared" si="8"/>
        <v>36.000000000000014</v>
      </c>
      <c r="C126" s="51">
        <f t="shared" si="6"/>
        <v>0.3</v>
      </c>
      <c r="D126" s="51">
        <f t="shared" si="7"/>
        <v>0</v>
      </c>
      <c r="F126">
        <f t="shared" si="9"/>
        <v>1</v>
      </c>
      <c r="G126">
        <f t="shared" si="10"/>
        <v>0</v>
      </c>
      <c r="I126">
        <f t="shared" si="11"/>
        <v>0</v>
      </c>
    </row>
    <row r="127" spans="1:9" x14ac:dyDescent="0.25">
      <c r="A127" s="51">
        <v>121</v>
      </c>
      <c r="B127" s="51">
        <f t="shared" si="8"/>
        <v>36.300000000000011</v>
      </c>
      <c r="C127" s="51">
        <f t="shared" si="6"/>
        <v>0.3</v>
      </c>
      <c r="D127" s="51">
        <f t="shared" si="7"/>
        <v>0</v>
      </c>
      <c r="F127">
        <f t="shared" si="9"/>
        <v>1</v>
      </c>
      <c r="G127">
        <f t="shared" si="10"/>
        <v>0</v>
      </c>
      <c r="I127">
        <f t="shared" si="11"/>
        <v>0</v>
      </c>
    </row>
    <row r="128" spans="1:9" x14ac:dyDescent="0.25">
      <c r="A128" s="51">
        <v>122</v>
      </c>
      <c r="B128" s="51">
        <f t="shared" si="8"/>
        <v>36.600000000000009</v>
      </c>
      <c r="C128" s="51">
        <f t="shared" si="6"/>
        <v>0.3</v>
      </c>
      <c r="D128" s="51">
        <f t="shared" si="7"/>
        <v>0</v>
      </c>
      <c r="F128">
        <f t="shared" si="9"/>
        <v>1</v>
      </c>
      <c r="G128">
        <f t="shared" si="10"/>
        <v>0</v>
      </c>
      <c r="I128">
        <f t="shared" si="11"/>
        <v>0</v>
      </c>
    </row>
    <row r="129" spans="1:9" x14ac:dyDescent="0.25">
      <c r="A129" s="51">
        <v>123</v>
      </c>
      <c r="B129" s="51">
        <f t="shared" si="8"/>
        <v>36.900000000000006</v>
      </c>
      <c r="C129" s="51">
        <f t="shared" si="6"/>
        <v>0.3</v>
      </c>
      <c r="D129" s="51">
        <f t="shared" si="7"/>
        <v>0</v>
      </c>
      <c r="F129">
        <f t="shared" si="9"/>
        <v>1</v>
      </c>
      <c r="G129">
        <f t="shared" si="10"/>
        <v>0</v>
      </c>
      <c r="I129">
        <f t="shared" si="11"/>
        <v>0</v>
      </c>
    </row>
    <row r="130" spans="1:9" x14ac:dyDescent="0.25">
      <c r="A130" s="51">
        <v>124</v>
      </c>
      <c r="B130" s="51">
        <f t="shared" si="8"/>
        <v>37.200000000000003</v>
      </c>
      <c r="C130" s="51">
        <f t="shared" si="6"/>
        <v>0.3</v>
      </c>
      <c r="D130" s="51">
        <f t="shared" si="7"/>
        <v>0</v>
      </c>
      <c r="F130">
        <f t="shared" si="9"/>
        <v>1</v>
      </c>
      <c r="G130">
        <f t="shared" si="10"/>
        <v>0</v>
      </c>
      <c r="I130">
        <f t="shared" si="11"/>
        <v>0</v>
      </c>
    </row>
    <row r="131" spans="1:9" x14ac:dyDescent="0.25">
      <c r="A131" s="51">
        <v>125</v>
      </c>
      <c r="B131" s="51">
        <f t="shared" si="8"/>
        <v>37.5</v>
      </c>
      <c r="C131" s="51">
        <f t="shared" si="6"/>
        <v>0.3</v>
      </c>
      <c r="D131" s="51">
        <f t="shared" si="7"/>
        <v>0</v>
      </c>
      <c r="F131">
        <f t="shared" si="9"/>
        <v>1</v>
      </c>
      <c r="G131">
        <f t="shared" si="10"/>
        <v>0</v>
      </c>
      <c r="I131">
        <f t="shared" si="11"/>
        <v>0</v>
      </c>
    </row>
    <row r="132" spans="1:9" x14ac:dyDescent="0.25">
      <c r="A132" s="51">
        <v>126</v>
      </c>
      <c r="B132" s="51">
        <f t="shared" si="8"/>
        <v>37.799999999999997</v>
      </c>
      <c r="C132" s="51">
        <f t="shared" si="6"/>
        <v>0.3</v>
      </c>
      <c r="D132" s="51">
        <f t="shared" si="7"/>
        <v>0</v>
      </c>
      <c r="F132">
        <f t="shared" si="9"/>
        <v>1</v>
      </c>
      <c r="G132">
        <f t="shared" si="10"/>
        <v>0</v>
      </c>
      <c r="I132">
        <f t="shared" si="11"/>
        <v>0</v>
      </c>
    </row>
    <row r="133" spans="1:9" x14ac:dyDescent="0.25">
      <c r="A133" s="51">
        <v>127</v>
      </c>
      <c r="B133" s="51">
        <f t="shared" si="8"/>
        <v>38.099999999999994</v>
      </c>
      <c r="C133" s="51">
        <f t="shared" si="6"/>
        <v>0.3</v>
      </c>
      <c r="D133" s="51">
        <f t="shared" si="7"/>
        <v>0</v>
      </c>
      <c r="F133">
        <f t="shared" si="9"/>
        <v>1</v>
      </c>
      <c r="G133">
        <f t="shared" si="10"/>
        <v>0</v>
      </c>
      <c r="I133">
        <f t="shared" si="11"/>
        <v>0</v>
      </c>
    </row>
    <row r="134" spans="1:9" x14ac:dyDescent="0.25">
      <c r="A134" s="51">
        <v>128</v>
      </c>
      <c r="B134" s="51">
        <f t="shared" si="8"/>
        <v>38.399999999999991</v>
      </c>
      <c r="C134" s="51">
        <f t="shared" si="6"/>
        <v>0.3</v>
      </c>
      <c r="D134" s="51">
        <f t="shared" si="7"/>
        <v>0</v>
      </c>
      <c r="F134">
        <f t="shared" si="9"/>
        <v>1</v>
      </c>
      <c r="G134">
        <f t="shared" si="10"/>
        <v>0</v>
      </c>
      <c r="I134">
        <f t="shared" si="11"/>
        <v>0</v>
      </c>
    </row>
    <row r="135" spans="1:9" x14ac:dyDescent="0.25">
      <c r="A135" s="51">
        <v>129</v>
      </c>
      <c r="B135" s="51">
        <f t="shared" si="8"/>
        <v>38.699999999999989</v>
      </c>
      <c r="C135" s="51">
        <f t="shared" si="6"/>
        <v>0.3</v>
      </c>
      <c r="D135" s="51">
        <f t="shared" si="7"/>
        <v>0</v>
      </c>
      <c r="F135">
        <f t="shared" si="9"/>
        <v>1</v>
      </c>
      <c r="G135">
        <f t="shared" si="10"/>
        <v>0</v>
      </c>
      <c r="I135">
        <f t="shared" si="11"/>
        <v>0</v>
      </c>
    </row>
    <row r="136" spans="1:9" x14ac:dyDescent="0.25">
      <c r="A136" s="51">
        <v>130</v>
      </c>
      <c r="B136" s="51">
        <f t="shared" si="8"/>
        <v>38.999999999999986</v>
      </c>
      <c r="C136" s="51">
        <f t="shared" ref="C136:C199" si="12">F136*$G$3+G136*$G$4</f>
        <v>0.3</v>
      </c>
      <c r="D136" s="51">
        <f t="shared" ref="D136:D199" si="13">I136*$J$3</f>
        <v>0</v>
      </c>
      <c r="F136">
        <f t="shared" si="9"/>
        <v>1</v>
      </c>
      <c r="G136">
        <f t="shared" si="10"/>
        <v>0</v>
      </c>
      <c r="I136">
        <f t="shared" si="11"/>
        <v>0</v>
      </c>
    </row>
    <row r="137" spans="1:9" x14ac:dyDescent="0.25">
      <c r="A137" s="51">
        <v>131</v>
      </c>
      <c r="B137" s="51">
        <f t="shared" si="8"/>
        <v>39.299999999999983</v>
      </c>
      <c r="C137" s="51">
        <f t="shared" si="12"/>
        <v>0.3</v>
      </c>
      <c r="D137" s="51">
        <f t="shared" si="13"/>
        <v>0</v>
      </c>
      <c r="F137">
        <f t="shared" si="9"/>
        <v>1</v>
      </c>
      <c r="G137">
        <f t="shared" si="10"/>
        <v>0</v>
      </c>
      <c r="I137">
        <f t="shared" si="11"/>
        <v>0</v>
      </c>
    </row>
    <row r="138" spans="1:9" x14ac:dyDescent="0.25">
      <c r="A138" s="51">
        <v>132</v>
      </c>
      <c r="B138" s="51">
        <f t="shared" ref="B138:B201" si="14">B137+C138-D138</f>
        <v>39.59999999999998</v>
      </c>
      <c r="C138" s="51">
        <f t="shared" si="12"/>
        <v>0.3</v>
      </c>
      <c r="D138" s="51">
        <f t="shared" si="13"/>
        <v>0</v>
      </c>
      <c r="F138">
        <f t="shared" ref="F138:F201" si="15">F137</f>
        <v>1</v>
      </c>
      <c r="G138">
        <f t="shared" ref="G138:G201" si="16">G137</f>
        <v>0</v>
      </c>
      <c r="I138">
        <f t="shared" ref="I138:I201" si="17">I137</f>
        <v>0</v>
      </c>
    </row>
    <row r="139" spans="1:9" x14ac:dyDescent="0.25">
      <c r="A139" s="51">
        <v>133</v>
      </c>
      <c r="B139" s="51">
        <f t="shared" si="14"/>
        <v>39.899999999999977</v>
      </c>
      <c r="C139" s="51">
        <f t="shared" si="12"/>
        <v>0.3</v>
      </c>
      <c r="D139" s="51">
        <f t="shared" si="13"/>
        <v>0</v>
      </c>
      <c r="F139">
        <f t="shared" si="15"/>
        <v>1</v>
      </c>
      <c r="G139">
        <f t="shared" si="16"/>
        <v>0</v>
      </c>
      <c r="I139">
        <f t="shared" si="17"/>
        <v>0</v>
      </c>
    </row>
    <row r="140" spans="1:9" x14ac:dyDescent="0.25">
      <c r="A140" s="51">
        <v>134</v>
      </c>
      <c r="B140" s="51">
        <f t="shared" si="14"/>
        <v>40.199999999999974</v>
      </c>
      <c r="C140" s="51">
        <f t="shared" si="12"/>
        <v>0.3</v>
      </c>
      <c r="D140" s="51">
        <f t="shared" si="13"/>
        <v>0</v>
      </c>
      <c r="F140">
        <f t="shared" si="15"/>
        <v>1</v>
      </c>
      <c r="G140">
        <f t="shared" si="16"/>
        <v>0</v>
      </c>
      <c r="I140">
        <f t="shared" si="17"/>
        <v>0</v>
      </c>
    </row>
    <row r="141" spans="1:9" x14ac:dyDescent="0.25">
      <c r="A141" s="51">
        <v>135</v>
      </c>
      <c r="B141" s="51">
        <f t="shared" si="14"/>
        <v>40.499999999999972</v>
      </c>
      <c r="C141" s="51">
        <f t="shared" si="12"/>
        <v>0.3</v>
      </c>
      <c r="D141" s="51">
        <f t="shared" si="13"/>
        <v>0</v>
      </c>
      <c r="F141">
        <f t="shared" si="15"/>
        <v>1</v>
      </c>
      <c r="G141">
        <f t="shared" si="16"/>
        <v>0</v>
      </c>
      <c r="I141">
        <f t="shared" si="17"/>
        <v>0</v>
      </c>
    </row>
    <row r="142" spans="1:9" x14ac:dyDescent="0.25">
      <c r="A142" s="51">
        <v>136</v>
      </c>
      <c r="B142" s="51">
        <f t="shared" si="14"/>
        <v>40.799999999999969</v>
      </c>
      <c r="C142" s="51">
        <f t="shared" si="12"/>
        <v>0.3</v>
      </c>
      <c r="D142" s="51">
        <f t="shared" si="13"/>
        <v>0</v>
      </c>
      <c r="F142">
        <f t="shared" si="15"/>
        <v>1</v>
      </c>
      <c r="G142">
        <f t="shared" si="16"/>
        <v>0</v>
      </c>
      <c r="I142">
        <f t="shared" si="17"/>
        <v>0</v>
      </c>
    </row>
    <row r="143" spans="1:9" x14ac:dyDescent="0.25">
      <c r="A143" s="51">
        <v>137</v>
      </c>
      <c r="B143" s="51">
        <f t="shared" si="14"/>
        <v>41.099999999999966</v>
      </c>
      <c r="C143" s="51">
        <f t="shared" si="12"/>
        <v>0.3</v>
      </c>
      <c r="D143" s="51">
        <f t="shared" si="13"/>
        <v>0</v>
      </c>
      <c r="F143">
        <f t="shared" si="15"/>
        <v>1</v>
      </c>
      <c r="G143">
        <f t="shared" si="16"/>
        <v>0</v>
      </c>
      <c r="I143">
        <f t="shared" si="17"/>
        <v>0</v>
      </c>
    </row>
    <row r="144" spans="1:9" x14ac:dyDescent="0.25">
      <c r="A144" s="51">
        <v>138</v>
      </c>
      <c r="B144" s="51">
        <f t="shared" si="14"/>
        <v>41.399999999999963</v>
      </c>
      <c r="C144" s="51">
        <f t="shared" si="12"/>
        <v>0.3</v>
      </c>
      <c r="D144" s="51">
        <f t="shared" si="13"/>
        <v>0</v>
      </c>
      <c r="F144">
        <f t="shared" si="15"/>
        <v>1</v>
      </c>
      <c r="G144">
        <f t="shared" si="16"/>
        <v>0</v>
      </c>
      <c r="I144">
        <f t="shared" si="17"/>
        <v>0</v>
      </c>
    </row>
    <row r="145" spans="1:9" x14ac:dyDescent="0.25">
      <c r="A145" s="51">
        <v>139</v>
      </c>
      <c r="B145" s="51">
        <f t="shared" si="14"/>
        <v>41.69999999999996</v>
      </c>
      <c r="C145" s="51">
        <f t="shared" si="12"/>
        <v>0.3</v>
      </c>
      <c r="D145" s="51">
        <f t="shared" si="13"/>
        <v>0</v>
      </c>
      <c r="F145">
        <f t="shared" si="15"/>
        <v>1</v>
      </c>
      <c r="G145">
        <f t="shared" si="16"/>
        <v>0</v>
      </c>
      <c r="I145">
        <f t="shared" si="17"/>
        <v>0</v>
      </c>
    </row>
    <row r="146" spans="1:9" x14ac:dyDescent="0.25">
      <c r="A146" s="51">
        <v>140</v>
      </c>
      <c r="B146" s="51">
        <f t="shared" si="14"/>
        <v>41.999999999999957</v>
      </c>
      <c r="C146" s="51">
        <f t="shared" si="12"/>
        <v>0.3</v>
      </c>
      <c r="D146" s="51">
        <f t="shared" si="13"/>
        <v>0</v>
      </c>
      <c r="F146">
        <f t="shared" si="15"/>
        <v>1</v>
      </c>
      <c r="G146">
        <f t="shared" si="16"/>
        <v>0</v>
      </c>
      <c r="I146">
        <f t="shared" si="17"/>
        <v>0</v>
      </c>
    </row>
    <row r="147" spans="1:9" x14ac:dyDescent="0.25">
      <c r="A147" s="51">
        <v>141</v>
      </c>
      <c r="B147" s="51">
        <f t="shared" si="14"/>
        <v>42.299999999999955</v>
      </c>
      <c r="C147" s="51">
        <f t="shared" si="12"/>
        <v>0.3</v>
      </c>
      <c r="D147" s="51">
        <f t="shared" si="13"/>
        <v>0</v>
      </c>
      <c r="F147">
        <f t="shared" si="15"/>
        <v>1</v>
      </c>
      <c r="G147">
        <f t="shared" si="16"/>
        <v>0</v>
      </c>
      <c r="I147">
        <f t="shared" si="17"/>
        <v>0</v>
      </c>
    </row>
    <row r="148" spans="1:9" x14ac:dyDescent="0.25">
      <c r="A148" s="51">
        <v>142</v>
      </c>
      <c r="B148" s="51">
        <f t="shared" si="14"/>
        <v>42.599999999999952</v>
      </c>
      <c r="C148" s="51">
        <f t="shared" si="12"/>
        <v>0.3</v>
      </c>
      <c r="D148" s="51">
        <f t="shared" si="13"/>
        <v>0</v>
      </c>
      <c r="F148">
        <f t="shared" si="15"/>
        <v>1</v>
      </c>
      <c r="G148">
        <f t="shared" si="16"/>
        <v>0</v>
      </c>
      <c r="I148">
        <f t="shared" si="17"/>
        <v>0</v>
      </c>
    </row>
    <row r="149" spans="1:9" x14ac:dyDescent="0.25">
      <c r="A149" s="51">
        <v>143</v>
      </c>
      <c r="B149" s="51">
        <f t="shared" si="14"/>
        <v>42.899999999999949</v>
      </c>
      <c r="C149" s="51">
        <f t="shared" si="12"/>
        <v>0.3</v>
      </c>
      <c r="D149" s="51">
        <f t="shared" si="13"/>
        <v>0</v>
      </c>
      <c r="F149">
        <f t="shared" si="15"/>
        <v>1</v>
      </c>
      <c r="G149">
        <f t="shared" si="16"/>
        <v>0</v>
      </c>
      <c r="I149">
        <f t="shared" si="17"/>
        <v>0</v>
      </c>
    </row>
    <row r="150" spans="1:9" x14ac:dyDescent="0.25">
      <c r="A150" s="51">
        <v>144</v>
      </c>
      <c r="B150" s="51">
        <f t="shared" si="14"/>
        <v>43.199999999999946</v>
      </c>
      <c r="C150" s="51">
        <f t="shared" si="12"/>
        <v>0.3</v>
      </c>
      <c r="D150" s="51">
        <f t="shared" si="13"/>
        <v>0</v>
      </c>
      <c r="F150">
        <f t="shared" si="15"/>
        <v>1</v>
      </c>
      <c r="G150">
        <f t="shared" si="16"/>
        <v>0</v>
      </c>
      <c r="I150">
        <f t="shared" si="17"/>
        <v>0</v>
      </c>
    </row>
    <row r="151" spans="1:9" x14ac:dyDescent="0.25">
      <c r="A151" s="51">
        <v>145</v>
      </c>
      <c r="B151" s="51">
        <f t="shared" si="14"/>
        <v>43.499999999999943</v>
      </c>
      <c r="C151" s="51">
        <f t="shared" si="12"/>
        <v>0.3</v>
      </c>
      <c r="D151" s="51">
        <f t="shared" si="13"/>
        <v>0</v>
      </c>
      <c r="F151">
        <f t="shared" si="15"/>
        <v>1</v>
      </c>
      <c r="G151">
        <f t="shared" si="16"/>
        <v>0</v>
      </c>
      <c r="I151">
        <f t="shared" si="17"/>
        <v>0</v>
      </c>
    </row>
    <row r="152" spans="1:9" x14ac:dyDescent="0.25">
      <c r="A152" s="51">
        <v>146</v>
      </c>
      <c r="B152" s="51">
        <f t="shared" si="14"/>
        <v>43.79999999999994</v>
      </c>
      <c r="C152" s="51">
        <f t="shared" si="12"/>
        <v>0.3</v>
      </c>
      <c r="D152" s="51">
        <f t="shared" si="13"/>
        <v>0</v>
      </c>
      <c r="F152">
        <f t="shared" si="15"/>
        <v>1</v>
      </c>
      <c r="G152">
        <f t="shared" si="16"/>
        <v>0</v>
      </c>
      <c r="I152">
        <f t="shared" si="17"/>
        <v>0</v>
      </c>
    </row>
    <row r="153" spans="1:9" x14ac:dyDescent="0.25">
      <c r="A153" s="51">
        <v>147</v>
      </c>
      <c r="B153" s="51">
        <f t="shared" si="14"/>
        <v>44.099999999999937</v>
      </c>
      <c r="C153" s="51">
        <f t="shared" si="12"/>
        <v>0.3</v>
      </c>
      <c r="D153" s="51">
        <f t="shared" si="13"/>
        <v>0</v>
      </c>
      <c r="F153">
        <f t="shared" si="15"/>
        <v>1</v>
      </c>
      <c r="G153">
        <f t="shared" si="16"/>
        <v>0</v>
      </c>
      <c r="I153">
        <f t="shared" si="17"/>
        <v>0</v>
      </c>
    </row>
    <row r="154" spans="1:9" x14ac:dyDescent="0.25">
      <c r="A154" s="51">
        <v>148</v>
      </c>
      <c r="B154" s="51">
        <f t="shared" si="14"/>
        <v>44.399999999999935</v>
      </c>
      <c r="C154" s="51">
        <f t="shared" si="12"/>
        <v>0.3</v>
      </c>
      <c r="D154" s="51">
        <f t="shared" si="13"/>
        <v>0</v>
      </c>
      <c r="F154">
        <f t="shared" si="15"/>
        <v>1</v>
      </c>
      <c r="G154">
        <f t="shared" si="16"/>
        <v>0</v>
      </c>
      <c r="I154">
        <f t="shared" si="17"/>
        <v>0</v>
      </c>
    </row>
    <row r="155" spans="1:9" x14ac:dyDescent="0.25">
      <c r="A155" s="51">
        <v>149</v>
      </c>
      <c r="B155" s="51">
        <f t="shared" si="14"/>
        <v>44.699999999999932</v>
      </c>
      <c r="C155" s="51">
        <f t="shared" si="12"/>
        <v>0.3</v>
      </c>
      <c r="D155" s="51">
        <f t="shared" si="13"/>
        <v>0</v>
      </c>
      <c r="F155">
        <f t="shared" si="15"/>
        <v>1</v>
      </c>
      <c r="G155">
        <f t="shared" si="16"/>
        <v>0</v>
      </c>
      <c r="I155">
        <f t="shared" si="17"/>
        <v>0</v>
      </c>
    </row>
    <row r="156" spans="1:9" x14ac:dyDescent="0.25">
      <c r="A156" s="51">
        <v>150</v>
      </c>
      <c r="B156" s="51">
        <f t="shared" si="14"/>
        <v>45.499999999999929</v>
      </c>
      <c r="C156" s="51">
        <f t="shared" si="12"/>
        <v>0.8</v>
      </c>
      <c r="D156" s="51">
        <f t="shared" si="13"/>
        <v>0</v>
      </c>
      <c r="F156">
        <f t="shared" si="15"/>
        <v>1</v>
      </c>
      <c r="G156">
        <v>1</v>
      </c>
      <c r="I156">
        <f t="shared" si="17"/>
        <v>0</v>
      </c>
    </row>
    <row r="157" spans="1:9" x14ac:dyDescent="0.25">
      <c r="A157" s="51">
        <v>151</v>
      </c>
      <c r="B157" s="51">
        <f t="shared" si="14"/>
        <v>46.299999999999926</v>
      </c>
      <c r="C157" s="51">
        <f t="shared" si="12"/>
        <v>0.8</v>
      </c>
      <c r="D157" s="51">
        <f t="shared" si="13"/>
        <v>0</v>
      </c>
      <c r="F157">
        <f t="shared" si="15"/>
        <v>1</v>
      </c>
      <c r="G157">
        <f t="shared" si="16"/>
        <v>1</v>
      </c>
      <c r="I157">
        <f t="shared" si="17"/>
        <v>0</v>
      </c>
    </row>
    <row r="158" spans="1:9" x14ac:dyDescent="0.25">
      <c r="A158" s="51">
        <v>152</v>
      </c>
      <c r="B158" s="51">
        <f t="shared" si="14"/>
        <v>47.099999999999923</v>
      </c>
      <c r="C158" s="51">
        <f t="shared" si="12"/>
        <v>0.8</v>
      </c>
      <c r="D158" s="51">
        <f t="shared" si="13"/>
        <v>0</v>
      </c>
      <c r="F158">
        <f t="shared" si="15"/>
        <v>1</v>
      </c>
      <c r="G158">
        <f t="shared" si="16"/>
        <v>1</v>
      </c>
      <c r="I158">
        <f t="shared" si="17"/>
        <v>0</v>
      </c>
    </row>
    <row r="159" spans="1:9" x14ac:dyDescent="0.25">
      <c r="A159" s="51">
        <v>153</v>
      </c>
      <c r="B159" s="51">
        <f t="shared" si="14"/>
        <v>47.89999999999992</v>
      </c>
      <c r="C159" s="51">
        <f t="shared" si="12"/>
        <v>0.8</v>
      </c>
      <c r="D159" s="51">
        <f t="shared" si="13"/>
        <v>0</v>
      </c>
      <c r="F159">
        <f t="shared" si="15"/>
        <v>1</v>
      </c>
      <c r="G159">
        <f t="shared" si="16"/>
        <v>1</v>
      </c>
      <c r="I159">
        <f t="shared" si="17"/>
        <v>0</v>
      </c>
    </row>
    <row r="160" spans="1:9" x14ac:dyDescent="0.25">
      <c r="A160" s="51">
        <v>154</v>
      </c>
      <c r="B160" s="51">
        <f t="shared" si="14"/>
        <v>48.699999999999918</v>
      </c>
      <c r="C160" s="51">
        <f t="shared" si="12"/>
        <v>0.8</v>
      </c>
      <c r="D160" s="51">
        <f t="shared" si="13"/>
        <v>0</v>
      </c>
      <c r="F160">
        <f t="shared" si="15"/>
        <v>1</v>
      </c>
      <c r="G160">
        <f t="shared" si="16"/>
        <v>1</v>
      </c>
      <c r="I160">
        <f t="shared" si="17"/>
        <v>0</v>
      </c>
    </row>
    <row r="161" spans="1:9" x14ac:dyDescent="0.25">
      <c r="A161" s="51">
        <v>155</v>
      </c>
      <c r="B161" s="51">
        <f t="shared" si="14"/>
        <v>49.499999999999915</v>
      </c>
      <c r="C161" s="51">
        <f t="shared" si="12"/>
        <v>0.8</v>
      </c>
      <c r="D161" s="51">
        <f t="shared" si="13"/>
        <v>0</v>
      </c>
      <c r="F161">
        <f t="shared" si="15"/>
        <v>1</v>
      </c>
      <c r="G161">
        <f t="shared" si="16"/>
        <v>1</v>
      </c>
      <c r="I161">
        <f t="shared" si="17"/>
        <v>0</v>
      </c>
    </row>
    <row r="162" spans="1:9" x14ac:dyDescent="0.25">
      <c r="A162" s="51">
        <v>156</v>
      </c>
      <c r="B162" s="51">
        <f t="shared" si="14"/>
        <v>50.299999999999912</v>
      </c>
      <c r="C162" s="51">
        <f t="shared" si="12"/>
        <v>0.8</v>
      </c>
      <c r="D162" s="51">
        <f t="shared" si="13"/>
        <v>0</v>
      </c>
      <c r="F162">
        <f t="shared" si="15"/>
        <v>1</v>
      </c>
      <c r="G162">
        <f t="shared" si="16"/>
        <v>1</v>
      </c>
      <c r="I162">
        <f t="shared" si="17"/>
        <v>0</v>
      </c>
    </row>
    <row r="163" spans="1:9" x14ac:dyDescent="0.25">
      <c r="A163" s="51">
        <v>157</v>
      </c>
      <c r="B163" s="51">
        <f t="shared" si="14"/>
        <v>51.099999999999909</v>
      </c>
      <c r="C163" s="51">
        <f t="shared" si="12"/>
        <v>0.8</v>
      </c>
      <c r="D163" s="51">
        <f t="shared" si="13"/>
        <v>0</v>
      </c>
      <c r="F163">
        <f t="shared" si="15"/>
        <v>1</v>
      </c>
      <c r="G163">
        <f t="shared" si="16"/>
        <v>1</v>
      </c>
      <c r="I163">
        <f t="shared" si="17"/>
        <v>0</v>
      </c>
    </row>
    <row r="164" spans="1:9" x14ac:dyDescent="0.25">
      <c r="A164" s="51">
        <v>158</v>
      </c>
      <c r="B164" s="51">
        <f t="shared" si="14"/>
        <v>51.899999999999906</v>
      </c>
      <c r="C164" s="51">
        <f t="shared" si="12"/>
        <v>0.8</v>
      </c>
      <c r="D164" s="51">
        <f t="shared" si="13"/>
        <v>0</v>
      </c>
      <c r="F164">
        <f t="shared" si="15"/>
        <v>1</v>
      </c>
      <c r="G164">
        <f t="shared" si="16"/>
        <v>1</v>
      </c>
      <c r="I164">
        <f t="shared" si="17"/>
        <v>0</v>
      </c>
    </row>
    <row r="165" spans="1:9" x14ac:dyDescent="0.25">
      <c r="A165" s="51">
        <v>159</v>
      </c>
      <c r="B165" s="51">
        <f t="shared" si="14"/>
        <v>52.699999999999903</v>
      </c>
      <c r="C165" s="51">
        <f t="shared" si="12"/>
        <v>0.8</v>
      </c>
      <c r="D165" s="51">
        <f t="shared" si="13"/>
        <v>0</v>
      </c>
      <c r="F165">
        <f t="shared" si="15"/>
        <v>1</v>
      </c>
      <c r="G165">
        <f t="shared" si="16"/>
        <v>1</v>
      </c>
      <c r="I165">
        <f t="shared" si="17"/>
        <v>0</v>
      </c>
    </row>
    <row r="166" spans="1:9" x14ac:dyDescent="0.25">
      <c r="A166" s="51">
        <v>160</v>
      </c>
      <c r="B166" s="51">
        <f t="shared" si="14"/>
        <v>53.499999999999901</v>
      </c>
      <c r="C166" s="51">
        <f t="shared" si="12"/>
        <v>0.8</v>
      </c>
      <c r="D166" s="51">
        <f t="shared" si="13"/>
        <v>0</v>
      </c>
      <c r="F166">
        <f t="shared" si="15"/>
        <v>1</v>
      </c>
      <c r="G166">
        <f t="shared" si="16"/>
        <v>1</v>
      </c>
      <c r="I166">
        <f t="shared" si="17"/>
        <v>0</v>
      </c>
    </row>
    <row r="167" spans="1:9" x14ac:dyDescent="0.25">
      <c r="A167" s="51">
        <v>161</v>
      </c>
      <c r="B167" s="51">
        <f t="shared" si="14"/>
        <v>54.299999999999898</v>
      </c>
      <c r="C167" s="51">
        <f t="shared" si="12"/>
        <v>0.8</v>
      </c>
      <c r="D167" s="51">
        <f t="shared" si="13"/>
        <v>0</v>
      </c>
      <c r="F167">
        <f t="shared" si="15"/>
        <v>1</v>
      </c>
      <c r="G167">
        <f t="shared" si="16"/>
        <v>1</v>
      </c>
      <c r="I167">
        <f t="shared" si="17"/>
        <v>0</v>
      </c>
    </row>
    <row r="168" spans="1:9" x14ac:dyDescent="0.25">
      <c r="A168" s="51">
        <v>162</v>
      </c>
      <c r="B168" s="51">
        <f t="shared" si="14"/>
        <v>55.099999999999895</v>
      </c>
      <c r="C168" s="51">
        <f t="shared" si="12"/>
        <v>0.8</v>
      </c>
      <c r="D168" s="51">
        <f t="shared" si="13"/>
        <v>0</v>
      </c>
      <c r="F168">
        <f t="shared" si="15"/>
        <v>1</v>
      </c>
      <c r="G168">
        <f t="shared" si="16"/>
        <v>1</v>
      </c>
      <c r="I168">
        <f t="shared" si="17"/>
        <v>0</v>
      </c>
    </row>
    <row r="169" spans="1:9" x14ac:dyDescent="0.25">
      <c r="A169" s="51">
        <v>163</v>
      </c>
      <c r="B169" s="51">
        <f t="shared" si="14"/>
        <v>55.899999999999892</v>
      </c>
      <c r="C169" s="51">
        <f t="shared" si="12"/>
        <v>0.8</v>
      </c>
      <c r="D169" s="51">
        <f t="shared" si="13"/>
        <v>0</v>
      </c>
      <c r="F169">
        <f t="shared" si="15"/>
        <v>1</v>
      </c>
      <c r="G169">
        <f t="shared" si="16"/>
        <v>1</v>
      </c>
      <c r="I169">
        <f t="shared" si="17"/>
        <v>0</v>
      </c>
    </row>
    <row r="170" spans="1:9" x14ac:dyDescent="0.25">
      <c r="A170" s="51">
        <v>164</v>
      </c>
      <c r="B170" s="51">
        <f t="shared" si="14"/>
        <v>56.699999999999889</v>
      </c>
      <c r="C170" s="51">
        <f t="shared" si="12"/>
        <v>0.8</v>
      </c>
      <c r="D170" s="51">
        <f t="shared" si="13"/>
        <v>0</v>
      </c>
      <c r="F170">
        <f t="shared" si="15"/>
        <v>1</v>
      </c>
      <c r="G170">
        <f t="shared" si="16"/>
        <v>1</v>
      </c>
      <c r="I170">
        <f t="shared" si="17"/>
        <v>0</v>
      </c>
    </row>
    <row r="171" spans="1:9" x14ac:dyDescent="0.25">
      <c r="A171" s="51">
        <v>165</v>
      </c>
      <c r="B171" s="51">
        <f t="shared" si="14"/>
        <v>57.499999999999886</v>
      </c>
      <c r="C171" s="51">
        <f t="shared" si="12"/>
        <v>0.8</v>
      </c>
      <c r="D171" s="51">
        <f t="shared" si="13"/>
        <v>0</v>
      </c>
      <c r="F171">
        <f t="shared" si="15"/>
        <v>1</v>
      </c>
      <c r="G171">
        <f t="shared" si="16"/>
        <v>1</v>
      </c>
      <c r="I171">
        <f t="shared" si="17"/>
        <v>0</v>
      </c>
    </row>
    <row r="172" spans="1:9" x14ac:dyDescent="0.25">
      <c r="A172" s="51">
        <v>166</v>
      </c>
      <c r="B172" s="51">
        <f t="shared" si="14"/>
        <v>58.299999999999883</v>
      </c>
      <c r="C172" s="51">
        <f t="shared" si="12"/>
        <v>0.8</v>
      </c>
      <c r="D172" s="51">
        <f t="shared" si="13"/>
        <v>0</v>
      </c>
      <c r="F172">
        <f t="shared" si="15"/>
        <v>1</v>
      </c>
      <c r="G172">
        <f t="shared" si="16"/>
        <v>1</v>
      </c>
      <c r="I172">
        <f t="shared" si="17"/>
        <v>0</v>
      </c>
    </row>
    <row r="173" spans="1:9" x14ac:dyDescent="0.25">
      <c r="A173" s="51">
        <v>167</v>
      </c>
      <c r="B173" s="51">
        <f t="shared" si="14"/>
        <v>59.099999999999881</v>
      </c>
      <c r="C173" s="51">
        <f t="shared" si="12"/>
        <v>0.8</v>
      </c>
      <c r="D173" s="51">
        <f t="shared" si="13"/>
        <v>0</v>
      </c>
      <c r="F173">
        <f t="shared" si="15"/>
        <v>1</v>
      </c>
      <c r="G173">
        <f t="shared" si="16"/>
        <v>1</v>
      </c>
      <c r="I173">
        <f t="shared" si="17"/>
        <v>0</v>
      </c>
    </row>
    <row r="174" spans="1:9" x14ac:dyDescent="0.25">
      <c r="A174" s="51">
        <v>168</v>
      </c>
      <c r="B174" s="51">
        <f t="shared" si="14"/>
        <v>59.899999999999878</v>
      </c>
      <c r="C174" s="51">
        <f t="shared" si="12"/>
        <v>0.8</v>
      </c>
      <c r="D174" s="51">
        <f t="shared" si="13"/>
        <v>0</v>
      </c>
      <c r="F174">
        <f t="shared" si="15"/>
        <v>1</v>
      </c>
      <c r="G174">
        <f t="shared" si="16"/>
        <v>1</v>
      </c>
      <c r="I174">
        <f t="shared" si="17"/>
        <v>0</v>
      </c>
    </row>
    <row r="175" spans="1:9" x14ac:dyDescent="0.25">
      <c r="A175" s="51">
        <v>169</v>
      </c>
      <c r="B175" s="51">
        <f t="shared" si="14"/>
        <v>60.699999999999875</v>
      </c>
      <c r="C175" s="51">
        <f t="shared" si="12"/>
        <v>0.8</v>
      </c>
      <c r="D175" s="51">
        <f t="shared" si="13"/>
        <v>0</v>
      </c>
      <c r="F175">
        <f t="shared" si="15"/>
        <v>1</v>
      </c>
      <c r="G175">
        <f t="shared" si="16"/>
        <v>1</v>
      </c>
      <c r="I175">
        <f t="shared" si="17"/>
        <v>0</v>
      </c>
    </row>
    <row r="176" spans="1:9" x14ac:dyDescent="0.25">
      <c r="A176" s="51">
        <v>170</v>
      </c>
      <c r="B176" s="51">
        <f t="shared" si="14"/>
        <v>61.499999999999872</v>
      </c>
      <c r="C176" s="51">
        <f t="shared" si="12"/>
        <v>0.8</v>
      </c>
      <c r="D176" s="51">
        <f t="shared" si="13"/>
        <v>0</v>
      </c>
      <c r="F176">
        <f t="shared" si="15"/>
        <v>1</v>
      </c>
      <c r="G176">
        <f t="shared" si="16"/>
        <v>1</v>
      </c>
      <c r="I176">
        <f t="shared" si="17"/>
        <v>0</v>
      </c>
    </row>
    <row r="177" spans="1:9" x14ac:dyDescent="0.25">
      <c r="A177" s="51">
        <v>171</v>
      </c>
      <c r="B177" s="51">
        <f t="shared" si="14"/>
        <v>62.299999999999869</v>
      </c>
      <c r="C177" s="51">
        <f t="shared" si="12"/>
        <v>0.8</v>
      </c>
      <c r="D177" s="51">
        <f t="shared" si="13"/>
        <v>0</v>
      </c>
      <c r="F177">
        <f t="shared" si="15"/>
        <v>1</v>
      </c>
      <c r="G177">
        <f t="shared" si="16"/>
        <v>1</v>
      </c>
      <c r="I177">
        <f t="shared" si="17"/>
        <v>0</v>
      </c>
    </row>
    <row r="178" spans="1:9" x14ac:dyDescent="0.25">
      <c r="A178" s="51">
        <v>172</v>
      </c>
      <c r="B178" s="51">
        <f t="shared" si="14"/>
        <v>63.099999999999866</v>
      </c>
      <c r="C178" s="51">
        <f t="shared" si="12"/>
        <v>0.8</v>
      </c>
      <c r="D178" s="51">
        <f t="shared" si="13"/>
        <v>0</v>
      </c>
      <c r="F178">
        <f t="shared" si="15"/>
        <v>1</v>
      </c>
      <c r="G178">
        <f t="shared" si="16"/>
        <v>1</v>
      </c>
      <c r="I178">
        <f t="shared" si="17"/>
        <v>0</v>
      </c>
    </row>
    <row r="179" spans="1:9" x14ac:dyDescent="0.25">
      <c r="A179" s="51">
        <v>173</v>
      </c>
      <c r="B179" s="51">
        <f t="shared" si="14"/>
        <v>63.899999999999864</v>
      </c>
      <c r="C179" s="51">
        <f t="shared" si="12"/>
        <v>0.8</v>
      </c>
      <c r="D179" s="51">
        <f t="shared" si="13"/>
        <v>0</v>
      </c>
      <c r="F179">
        <f t="shared" si="15"/>
        <v>1</v>
      </c>
      <c r="G179">
        <f t="shared" si="16"/>
        <v>1</v>
      </c>
      <c r="I179">
        <f t="shared" si="17"/>
        <v>0</v>
      </c>
    </row>
    <row r="180" spans="1:9" x14ac:dyDescent="0.25">
      <c r="A180" s="51">
        <v>174</v>
      </c>
      <c r="B180" s="51">
        <f t="shared" si="14"/>
        <v>64.699999999999861</v>
      </c>
      <c r="C180" s="51">
        <f t="shared" si="12"/>
        <v>0.8</v>
      </c>
      <c r="D180" s="51">
        <f t="shared" si="13"/>
        <v>0</v>
      </c>
      <c r="F180">
        <f t="shared" si="15"/>
        <v>1</v>
      </c>
      <c r="G180">
        <f t="shared" si="16"/>
        <v>1</v>
      </c>
      <c r="I180">
        <f t="shared" si="17"/>
        <v>0</v>
      </c>
    </row>
    <row r="181" spans="1:9" x14ac:dyDescent="0.25">
      <c r="A181" s="51">
        <v>175</v>
      </c>
      <c r="B181" s="51">
        <f t="shared" si="14"/>
        <v>65.499999999999858</v>
      </c>
      <c r="C181" s="51">
        <f t="shared" si="12"/>
        <v>0.8</v>
      </c>
      <c r="D181" s="51">
        <f t="shared" si="13"/>
        <v>0</v>
      </c>
      <c r="F181">
        <f t="shared" si="15"/>
        <v>1</v>
      </c>
      <c r="G181">
        <f t="shared" si="16"/>
        <v>1</v>
      </c>
      <c r="I181">
        <f t="shared" si="17"/>
        <v>0</v>
      </c>
    </row>
    <row r="182" spans="1:9" x14ac:dyDescent="0.25">
      <c r="A182" s="51">
        <v>176</v>
      </c>
      <c r="B182" s="51">
        <f t="shared" si="14"/>
        <v>66.299999999999855</v>
      </c>
      <c r="C182" s="51">
        <f t="shared" si="12"/>
        <v>0.8</v>
      </c>
      <c r="D182" s="51">
        <f t="shared" si="13"/>
        <v>0</v>
      </c>
      <c r="F182">
        <f t="shared" si="15"/>
        <v>1</v>
      </c>
      <c r="G182">
        <f t="shared" si="16"/>
        <v>1</v>
      </c>
      <c r="I182">
        <f t="shared" si="17"/>
        <v>0</v>
      </c>
    </row>
    <row r="183" spans="1:9" x14ac:dyDescent="0.25">
      <c r="A183" s="51">
        <v>177</v>
      </c>
      <c r="B183" s="51">
        <f t="shared" si="14"/>
        <v>67.099999999999852</v>
      </c>
      <c r="C183" s="51">
        <f t="shared" si="12"/>
        <v>0.8</v>
      </c>
      <c r="D183" s="51">
        <f t="shared" si="13"/>
        <v>0</v>
      </c>
      <c r="F183">
        <f t="shared" si="15"/>
        <v>1</v>
      </c>
      <c r="G183">
        <f t="shared" si="16"/>
        <v>1</v>
      </c>
      <c r="I183">
        <f t="shared" si="17"/>
        <v>0</v>
      </c>
    </row>
    <row r="184" spans="1:9" x14ac:dyDescent="0.25">
      <c r="A184" s="51">
        <v>178</v>
      </c>
      <c r="B184" s="51">
        <f t="shared" si="14"/>
        <v>67.899999999999849</v>
      </c>
      <c r="C184" s="51">
        <f t="shared" si="12"/>
        <v>0.8</v>
      </c>
      <c r="D184" s="51">
        <f t="shared" si="13"/>
        <v>0</v>
      </c>
      <c r="F184">
        <f t="shared" si="15"/>
        <v>1</v>
      </c>
      <c r="G184">
        <f t="shared" si="16"/>
        <v>1</v>
      </c>
      <c r="I184">
        <f t="shared" si="17"/>
        <v>0</v>
      </c>
    </row>
    <row r="185" spans="1:9" x14ac:dyDescent="0.25">
      <c r="A185" s="51">
        <v>179</v>
      </c>
      <c r="B185" s="51">
        <f t="shared" si="14"/>
        <v>68.699999999999847</v>
      </c>
      <c r="C185" s="51">
        <f t="shared" si="12"/>
        <v>0.8</v>
      </c>
      <c r="D185" s="51">
        <f t="shared" si="13"/>
        <v>0</v>
      </c>
      <c r="F185">
        <f t="shared" si="15"/>
        <v>1</v>
      </c>
      <c r="G185">
        <f t="shared" si="16"/>
        <v>1</v>
      </c>
      <c r="I185">
        <f t="shared" si="17"/>
        <v>0</v>
      </c>
    </row>
    <row r="186" spans="1:9" x14ac:dyDescent="0.25">
      <c r="A186" s="51">
        <v>180</v>
      </c>
      <c r="B186" s="51">
        <f t="shared" si="14"/>
        <v>69.499999999999844</v>
      </c>
      <c r="C186" s="51">
        <f t="shared" si="12"/>
        <v>0.8</v>
      </c>
      <c r="D186" s="51">
        <f t="shared" si="13"/>
        <v>0</v>
      </c>
      <c r="F186">
        <f t="shared" si="15"/>
        <v>1</v>
      </c>
      <c r="G186">
        <f t="shared" si="16"/>
        <v>1</v>
      </c>
      <c r="I186">
        <f t="shared" si="17"/>
        <v>0</v>
      </c>
    </row>
    <row r="187" spans="1:9" x14ac:dyDescent="0.25">
      <c r="A187" s="51">
        <v>181</v>
      </c>
      <c r="B187" s="51">
        <f t="shared" si="14"/>
        <v>70.299999999999841</v>
      </c>
      <c r="C187" s="51">
        <f t="shared" si="12"/>
        <v>0.8</v>
      </c>
      <c r="D187" s="51">
        <f t="shared" si="13"/>
        <v>0</v>
      </c>
      <c r="F187">
        <f t="shared" si="15"/>
        <v>1</v>
      </c>
      <c r="G187">
        <f t="shared" si="16"/>
        <v>1</v>
      </c>
      <c r="I187">
        <f t="shared" si="17"/>
        <v>0</v>
      </c>
    </row>
    <row r="188" spans="1:9" x14ac:dyDescent="0.25">
      <c r="A188" s="51">
        <v>182</v>
      </c>
      <c r="B188" s="51">
        <f t="shared" si="14"/>
        <v>71.099999999999838</v>
      </c>
      <c r="C188" s="51">
        <f t="shared" si="12"/>
        <v>0.8</v>
      </c>
      <c r="D188" s="51">
        <f t="shared" si="13"/>
        <v>0</v>
      </c>
      <c r="F188">
        <f t="shared" si="15"/>
        <v>1</v>
      </c>
      <c r="G188">
        <f t="shared" si="16"/>
        <v>1</v>
      </c>
      <c r="I188">
        <f t="shared" si="17"/>
        <v>0</v>
      </c>
    </row>
    <row r="189" spans="1:9" x14ac:dyDescent="0.25">
      <c r="A189" s="51">
        <v>183</v>
      </c>
      <c r="B189" s="51">
        <f t="shared" si="14"/>
        <v>71.899999999999835</v>
      </c>
      <c r="C189" s="51">
        <f t="shared" si="12"/>
        <v>0.8</v>
      </c>
      <c r="D189" s="51">
        <f t="shared" si="13"/>
        <v>0</v>
      </c>
      <c r="F189">
        <f t="shared" si="15"/>
        <v>1</v>
      </c>
      <c r="G189">
        <f t="shared" si="16"/>
        <v>1</v>
      </c>
      <c r="I189">
        <f t="shared" si="17"/>
        <v>0</v>
      </c>
    </row>
    <row r="190" spans="1:9" x14ac:dyDescent="0.25">
      <c r="A190" s="51">
        <v>184</v>
      </c>
      <c r="B190" s="51">
        <f t="shared" si="14"/>
        <v>72.699999999999832</v>
      </c>
      <c r="C190" s="51">
        <f t="shared" si="12"/>
        <v>0.8</v>
      </c>
      <c r="D190" s="51">
        <f t="shared" si="13"/>
        <v>0</v>
      </c>
      <c r="F190">
        <f t="shared" si="15"/>
        <v>1</v>
      </c>
      <c r="G190">
        <f t="shared" si="16"/>
        <v>1</v>
      </c>
      <c r="I190">
        <f t="shared" si="17"/>
        <v>0</v>
      </c>
    </row>
    <row r="191" spans="1:9" x14ac:dyDescent="0.25">
      <c r="A191" s="51">
        <v>185</v>
      </c>
      <c r="B191" s="51">
        <f t="shared" si="14"/>
        <v>73.499999999999829</v>
      </c>
      <c r="C191" s="51">
        <f t="shared" si="12"/>
        <v>0.8</v>
      </c>
      <c r="D191" s="51">
        <f t="shared" si="13"/>
        <v>0</v>
      </c>
      <c r="F191">
        <f t="shared" si="15"/>
        <v>1</v>
      </c>
      <c r="G191">
        <f t="shared" si="16"/>
        <v>1</v>
      </c>
      <c r="I191">
        <f t="shared" si="17"/>
        <v>0</v>
      </c>
    </row>
    <row r="192" spans="1:9" x14ac:dyDescent="0.25">
      <c r="A192" s="51">
        <v>186</v>
      </c>
      <c r="B192" s="51">
        <f t="shared" si="14"/>
        <v>74.299999999999827</v>
      </c>
      <c r="C192" s="51">
        <f t="shared" si="12"/>
        <v>0.8</v>
      </c>
      <c r="D192" s="51">
        <f t="shared" si="13"/>
        <v>0</v>
      </c>
      <c r="F192">
        <f t="shared" si="15"/>
        <v>1</v>
      </c>
      <c r="G192">
        <f t="shared" si="16"/>
        <v>1</v>
      </c>
      <c r="I192">
        <f t="shared" si="17"/>
        <v>0</v>
      </c>
    </row>
    <row r="193" spans="1:9" x14ac:dyDescent="0.25">
      <c r="A193" s="51">
        <v>187</v>
      </c>
      <c r="B193" s="51">
        <f t="shared" si="14"/>
        <v>75.099999999999824</v>
      </c>
      <c r="C193" s="51">
        <f t="shared" si="12"/>
        <v>0.8</v>
      </c>
      <c r="D193" s="51">
        <f t="shared" si="13"/>
        <v>0</v>
      </c>
      <c r="F193">
        <f t="shared" si="15"/>
        <v>1</v>
      </c>
      <c r="G193">
        <f t="shared" si="16"/>
        <v>1</v>
      </c>
      <c r="I193">
        <f t="shared" si="17"/>
        <v>0</v>
      </c>
    </row>
    <row r="194" spans="1:9" x14ac:dyDescent="0.25">
      <c r="A194" s="51">
        <v>188</v>
      </c>
      <c r="B194" s="51">
        <f t="shared" si="14"/>
        <v>75.899999999999821</v>
      </c>
      <c r="C194" s="51">
        <f t="shared" si="12"/>
        <v>0.8</v>
      </c>
      <c r="D194" s="51">
        <f t="shared" si="13"/>
        <v>0</v>
      </c>
      <c r="F194">
        <f t="shared" si="15"/>
        <v>1</v>
      </c>
      <c r="G194">
        <f t="shared" si="16"/>
        <v>1</v>
      </c>
      <c r="I194">
        <f t="shared" si="17"/>
        <v>0</v>
      </c>
    </row>
    <row r="195" spans="1:9" x14ac:dyDescent="0.25">
      <c r="A195" s="51">
        <v>189</v>
      </c>
      <c r="B195" s="51">
        <f t="shared" si="14"/>
        <v>76.699999999999818</v>
      </c>
      <c r="C195" s="51">
        <f t="shared" si="12"/>
        <v>0.8</v>
      </c>
      <c r="D195" s="51">
        <f t="shared" si="13"/>
        <v>0</v>
      </c>
      <c r="F195">
        <f t="shared" si="15"/>
        <v>1</v>
      </c>
      <c r="G195">
        <f t="shared" si="16"/>
        <v>1</v>
      </c>
      <c r="I195">
        <f t="shared" si="17"/>
        <v>0</v>
      </c>
    </row>
    <row r="196" spans="1:9" x14ac:dyDescent="0.25">
      <c r="A196" s="51">
        <v>190</v>
      </c>
      <c r="B196" s="51">
        <f t="shared" si="14"/>
        <v>77.499999999999815</v>
      </c>
      <c r="C196" s="51">
        <f t="shared" si="12"/>
        <v>0.8</v>
      </c>
      <c r="D196" s="51">
        <f t="shared" si="13"/>
        <v>0</v>
      </c>
      <c r="F196">
        <f t="shared" si="15"/>
        <v>1</v>
      </c>
      <c r="G196">
        <f t="shared" si="16"/>
        <v>1</v>
      </c>
      <c r="I196">
        <f t="shared" si="17"/>
        <v>0</v>
      </c>
    </row>
    <row r="197" spans="1:9" x14ac:dyDescent="0.25">
      <c r="A197" s="51">
        <v>191</v>
      </c>
      <c r="B197" s="51">
        <f t="shared" si="14"/>
        <v>78.299999999999812</v>
      </c>
      <c r="C197" s="51">
        <f t="shared" si="12"/>
        <v>0.8</v>
      </c>
      <c r="D197" s="51">
        <f t="shared" si="13"/>
        <v>0</v>
      </c>
      <c r="F197">
        <f t="shared" si="15"/>
        <v>1</v>
      </c>
      <c r="G197">
        <f t="shared" si="16"/>
        <v>1</v>
      </c>
      <c r="I197">
        <f t="shared" si="17"/>
        <v>0</v>
      </c>
    </row>
    <row r="198" spans="1:9" x14ac:dyDescent="0.25">
      <c r="A198" s="51">
        <v>192</v>
      </c>
      <c r="B198" s="51">
        <f t="shared" si="14"/>
        <v>79.09999999999981</v>
      </c>
      <c r="C198" s="51">
        <f t="shared" si="12"/>
        <v>0.8</v>
      </c>
      <c r="D198" s="51">
        <f t="shared" si="13"/>
        <v>0</v>
      </c>
      <c r="F198">
        <f t="shared" si="15"/>
        <v>1</v>
      </c>
      <c r="G198">
        <f t="shared" si="16"/>
        <v>1</v>
      </c>
      <c r="I198">
        <f t="shared" si="17"/>
        <v>0</v>
      </c>
    </row>
    <row r="199" spans="1:9" x14ac:dyDescent="0.25">
      <c r="A199" s="51">
        <v>193</v>
      </c>
      <c r="B199" s="51">
        <f t="shared" si="14"/>
        <v>79.899999999999807</v>
      </c>
      <c r="C199" s="51">
        <f t="shared" si="12"/>
        <v>0.8</v>
      </c>
      <c r="D199" s="51">
        <f t="shared" si="13"/>
        <v>0</v>
      </c>
      <c r="F199">
        <f t="shared" si="15"/>
        <v>1</v>
      </c>
      <c r="G199">
        <f t="shared" si="16"/>
        <v>1</v>
      </c>
      <c r="I199">
        <f t="shared" si="17"/>
        <v>0</v>
      </c>
    </row>
    <row r="200" spans="1:9" x14ac:dyDescent="0.25">
      <c r="A200" s="51">
        <v>194</v>
      </c>
      <c r="B200" s="51">
        <f t="shared" si="14"/>
        <v>80.699999999999804</v>
      </c>
      <c r="C200" s="51">
        <f t="shared" ref="C200:C263" si="18">F200*$G$3+G200*$G$4</f>
        <v>0.8</v>
      </c>
      <c r="D200" s="51">
        <f t="shared" ref="D200:D263" si="19">I200*$J$3</f>
        <v>0</v>
      </c>
      <c r="F200">
        <f t="shared" si="15"/>
        <v>1</v>
      </c>
      <c r="G200">
        <f t="shared" si="16"/>
        <v>1</v>
      </c>
      <c r="I200">
        <f t="shared" si="17"/>
        <v>0</v>
      </c>
    </row>
    <row r="201" spans="1:9" x14ac:dyDescent="0.25">
      <c r="A201" s="51">
        <v>195</v>
      </c>
      <c r="B201" s="51">
        <f t="shared" si="14"/>
        <v>81.499999999999801</v>
      </c>
      <c r="C201" s="51">
        <f t="shared" si="18"/>
        <v>0.8</v>
      </c>
      <c r="D201" s="51">
        <f t="shared" si="19"/>
        <v>0</v>
      </c>
      <c r="F201">
        <f t="shared" si="15"/>
        <v>1</v>
      </c>
      <c r="G201">
        <f t="shared" si="16"/>
        <v>1</v>
      </c>
      <c r="I201">
        <f t="shared" si="17"/>
        <v>0</v>
      </c>
    </row>
    <row r="202" spans="1:9" x14ac:dyDescent="0.25">
      <c r="A202" s="51">
        <v>196</v>
      </c>
      <c r="B202" s="51">
        <f t="shared" ref="B202:B265" si="20">B201+C202-D202</f>
        <v>82.299999999999798</v>
      </c>
      <c r="C202" s="51">
        <f t="shared" si="18"/>
        <v>0.8</v>
      </c>
      <c r="D202" s="51">
        <f t="shared" si="19"/>
        <v>0</v>
      </c>
      <c r="F202">
        <f t="shared" ref="F202:F265" si="21">F201</f>
        <v>1</v>
      </c>
      <c r="G202">
        <f t="shared" ref="G202:G265" si="22">G201</f>
        <v>1</v>
      </c>
      <c r="I202">
        <f t="shared" ref="I202:I265" si="23">I201</f>
        <v>0</v>
      </c>
    </row>
    <row r="203" spans="1:9" x14ac:dyDescent="0.25">
      <c r="A203" s="51">
        <v>197</v>
      </c>
      <c r="B203" s="51">
        <f t="shared" si="20"/>
        <v>83.099999999999795</v>
      </c>
      <c r="C203" s="51">
        <f t="shared" si="18"/>
        <v>0.8</v>
      </c>
      <c r="D203" s="51">
        <f t="shared" si="19"/>
        <v>0</v>
      </c>
      <c r="F203">
        <f t="shared" si="21"/>
        <v>1</v>
      </c>
      <c r="G203">
        <f t="shared" si="22"/>
        <v>1</v>
      </c>
      <c r="I203">
        <f t="shared" si="23"/>
        <v>0</v>
      </c>
    </row>
    <row r="204" spans="1:9" x14ac:dyDescent="0.25">
      <c r="A204" s="51">
        <v>198</v>
      </c>
      <c r="B204" s="51">
        <f t="shared" si="20"/>
        <v>83.899999999999793</v>
      </c>
      <c r="C204" s="51">
        <f t="shared" si="18"/>
        <v>0.8</v>
      </c>
      <c r="D204" s="51">
        <f t="shared" si="19"/>
        <v>0</v>
      </c>
      <c r="F204">
        <f t="shared" si="21"/>
        <v>1</v>
      </c>
      <c r="G204">
        <f t="shared" si="22"/>
        <v>1</v>
      </c>
      <c r="I204">
        <f t="shared" si="23"/>
        <v>0</v>
      </c>
    </row>
    <row r="205" spans="1:9" x14ac:dyDescent="0.25">
      <c r="A205" s="51">
        <v>199</v>
      </c>
      <c r="B205" s="51">
        <f t="shared" si="20"/>
        <v>84.69999999999979</v>
      </c>
      <c r="C205" s="51">
        <f t="shared" si="18"/>
        <v>0.8</v>
      </c>
      <c r="D205" s="51">
        <f t="shared" si="19"/>
        <v>0</v>
      </c>
      <c r="F205">
        <f t="shared" si="21"/>
        <v>1</v>
      </c>
      <c r="G205">
        <f t="shared" si="22"/>
        <v>1</v>
      </c>
      <c r="I205">
        <f t="shared" si="23"/>
        <v>0</v>
      </c>
    </row>
    <row r="206" spans="1:9" x14ac:dyDescent="0.25">
      <c r="A206" s="51">
        <v>200</v>
      </c>
      <c r="B206" s="51">
        <f t="shared" si="20"/>
        <v>85.499999999999787</v>
      </c>
      <c r="C206" s="51">
        <f t="shared" si="18"/>
        <v>0.8</v>
      </c>
      <c r="D206" s="51">
        <f t="shared" si="19"/>
        <v>0</v>
      </c>
      <c r="F206">
        <f t="shared" si="21"/>
        <v>1</v>
      </c>
      <c r="G206">
        <f t="shared" si="22"/>
        <v>1</v>
      </c>
      <c r="I206">
        <f t="shared" si="23"/>
        <v>0</v>
      </c>
    </row>
    <row r="207" spans="1:9" x14ac:dyDescent="0.25">
      <c r="A207" s="51">
        <v>201</v>
      </c>
      <c r="B207" s="51">
        <f t="shared" si="20"/>
        <v>86.299999999999784</v>
      </c>
      <c r="C207" s="51">
        <f t="shared" si="18"/>
        <v>0.8</v>
      </c>
      <c r="D207" s="51">
        <f t="shared" si="19"/>
        <v>0</v>
      </c>
      <c r="F207">
        <f t="shared" si="21"/>
        <v>1</v>
      </c>
      <c r="G207">
        <f t="shared" si="22"/>
        <v>1</v>
      </c>
      <c r="I207">
        <f t="shared" si="23"/>
        <v>0</v>
      </c>
    </row>
    <row r="208" spans="1:9" x14ac:dyDescent="0.25">
      <c r="A208" s="51">
        <v>202</v>
      </c>
      <c r="B208" s="51">
        <f t="shared" si="20"/>
        <v>87.099999999999781</v>
      </c>
      <c r="C208" s="51">
        <f t="shared" si="18"/>
        <v>0.8</v>
      </c>
      <c r="D208" s="51">
        <f t="shared" si="19"/>
        <v>0</v>
      </c>
      <c r="F208">
        <f t="shared" si="21"/>
        <v>1</v>
      </c>
      <c r="G208">
        <f t="shared" si="22"/>
        <v>1</v>
      </c>
      <c r="I208">
        <f t="shared" si="23"/>
        <v>0</v>
      </c>
    </row>
    <row r="209" spans="1:9" x14ac:dyDescent="0.25">
      <c r="A209" s="51">
        <v>203</v>
      </c>
      <c r="B209" s="51">
        <f t="shared" si="20"/>
        <v>87.899999999999778</v>
      </c>
      <c r="C209" s="51">
        <f t="shared" si="18"/>
        <v>0.8</v>
      </c>
      <c r="D209" s="51">
        <f t="shared" si="19"/>
        <v>0</v>
      </c>
      <c r="F209">
        <f t="shared" si="21"/>
        <v>1</v>
      </c>
      <c r="G209">
        <f t="shared" si="22"/>
        <v>1</v>
      </c>
      <c r="I209">
        <f t="shared" si="23"/>
        <v>0</v>
      </c>
    </row>
    <row r="210" spans="1:9" x14ac:dyDescent="0.25">
      <c r="A210" s="51">
        <v>204</v>
      </c>
      <c r="B210" s="51">
        <f t="shared" si="20"/>
        <v>88.699999999999775</v>
      </c>
      <c r="C210" s="51">
        <f t="shared" si="18"/>
        <v>0.8</v>
      </c>
      <c r="D210" s="51">
        <f t="shared" si="19"/>
        <v>0</v>
      </c>
      <c r="F210">
        <f t="shared" si="21"/>
        <v>1</v>
      </c>
      <c r="G210">
        <f t="shared" si="22"/>
        <v>1</v>
      </c>
      <c r="I210">
        <f t="shared" si="23"/>
        <v>0</v>
      </c>
    </row>
    <row r="211" spans="1:9" x14ac:dyDescent="0.25">
      <c r="A211" s="51">
        <v>205</v>
      </c>
      <c r="B211" s="51">
        <f t="shared" si="20"/>
        <v>89.499999999999773</v>
      </c>
      <c r="C211" s="51">
        <f t="shared" si="18"/>
        <v>0.8</v>
      </c>
      <c r="D211" s="51">
        <f t="shared" si="19"/>
        <v>0</v>
      </c>
      <c r="F211">
        <f t="shared" si="21"/>
        <v>1</v>
      </c>
      <c r="G211">
        <f t="shared" si="22"/>
        <v>1</v>
      </c>
      <c r="I211">
        <f t="shared" si="23"/>
        <v>0</v>
      </c>
    </row>
    <row r="212" spans="1:9" x14ac:dyDescent="0.25">
      <c r="A212" s="51">
        <v>206</v>
      </c>
      <c r="B212" s="51">
        <f t="shared" si="20"/>
        <v>90.29999999999977</v>
      </c>
      <c r="C212" s="51">
        <f t="shared" si="18"/>
        <v>0.8</v>
      </c>
      <c r="D212" s="51">
        <f t="shared" si="19"/>
        <v>0</v>
      </c>
      <c r="F212">
        <f t="shared" si="21"/>
        <v>1</v>
      </c>
      <c r="G212">
        <f t="shared" si="22"/>
        <v>1</v>
      </c>
      <c r="I212">
        <f t="shared" si="23"/>
        <v>0</v>
      </c>
    </row>
    <row r="213" spans="1:9" x14ac:dyDescent="0.25">
      <c r="A213" s="51">
        <v>207</v>
      </c>
      <c r="B213" s="51">
        <f t="shared" si="20"/>
        <v>91.099999999999767</v>
      </c>
      <c r="C213" s="51">
        <f t="shared" si="18"/>
        <v>0.8</v>
      </c>
      <c r="D213" s="51">
        <f t="shared" si="19"/>
        <v>0</v>
      </c>
      <c r="F213">
        <f t="shared" si="21"/>
        <v>1</v>
      </c>
      <c r="G213">
        <f t="shared" si="22"/>
        <v>1</v>
      </c>
      <c r="I213">
        <f t="shared" si="23"/>
        <v>0</v>
      </c>
    </row>
    <row r="214" spans="1:9" x14ac:dyDescent="0.25">
      <c r="A214" s="51">
        <v>208</v>
      </c>
      <c r="B214" s="51">
        <f t="shared" si="20"/>
        <v>91.899999999999764</v>
      </c>
      <c r="C214" s="51">
        <f t="shared" si="18"/>
        <v>0.8</v>
      </c>
      <c r="D214" s="51">
        <f t="shared" si="19"/>
        <v>0</v>
      </c>
      <c r="F214">
        <f t="shared" si="21"/>
        <v>1</v>
      </c>
      <c r="G214">
        <f t="shared" si="22"/>
        <v>1</v>
      </c>
      <c r="I214">
        <f t="shared" si="23"/>
        <v>0</v>
      </c>
    </row>
    <row r="215" spans="1:9" x14ac:dyDescent="0.25">
      <c r="A215" s="51">
        <v>209</v>
      </c>
      <c r="B215" s="51">
        <f t="shared" si="20"/>
        <v>92.699999999999761</v>
      </c>
      <c r="C215" s="51">
        <f t="shared" si="18"/>
        <v>0.8</v>
      </c>
      <c r="D215" s="51">
        <f t="shared" si="19"/>
        <v>0</v>
      </c>
      <c r="F215">
        <f t="shared" si="21"/>
        <v>1</v>
      </c>
      <c r="G215">
        <f t="shared" si="22"/>
        <v>1</v>
      </c>
      <c r="I215">
        <f t="shared" si="23"/>
        <v>0</v>
      </c>
    </row>
    <row r="216" spans="1:9" x14ac:dyDescent="0.25">
      <c r="A216" s="51">
        <v>210</v>
      </c>
      <c r="B216" s="51">
        <f t="shared" si="20"/>
        <v>93.499999999999758</v>
      </c>
      <c r="C216" s="51">
        <f t="shared" si="18"/>
        <v>0.8</v>
      </c>
      <c r="D216" s="51">
        <f t="shared" si="19"/>
        <v>0</v>
      </c>
      <c r="F216">
        <f t="shared" si="21"/>
        <v>1</v>
      </c>
      <c r="G216">
        <f t="shared" si="22"/>
        <v>1</v>
      </c>
      <c r="I216">
        <f t="shared" si="23"/>
        <v>0</v>
      </c>
    </row>
    <row r="217" spans="1:9" x14ac:dyDescent="0.25">
      <c r="A217" s="51">
        <v>211</v>
      </c>
      <c r="B217" s="51">
        <f t="shared" si="20"/>
        <v>94.299999999999756</v>
      </c>
      <c r="C217" s="51">
        <f t="shared" si="18"/>
        <v>0.8</v>
      </c>
      <c r="D217" s="51">
        <f t="shared" si="19"/>
        <v>0</v>
      </c>
      <c r="F217">
        <f t="shared" si="21"/>
        <v>1</v>
      </c>
      <c r="G217">
        <f t="shared" si="22"/>
        <v>1</v>
      </c>
      <c r="I217">
        <f t="shared" si="23"/>
        <v>0</v>
      </c>
    </row>
    <row r="218" spans="1:9" x14ac:dyDescent="0.25">
      <c r="A218" s="51">
        <v>212</v>
      </c>
      <c r="B218" s="51">
        <f t="shared" si="20"/>
        <v>95.099999999999753</v>
      </c>
      <c r="C218" s="51">
        <f t="shared" si="18"/>
        <v>0.8</v>
      </c>
      <c r="D218" s="51">
        <f t="shared" si="19"/>
        <v>0</v>
      </c>
      <c r="F218">
        <f t="shared" si="21"/>
        <v>1</v>
      </c>
      <c r="G218">
        <f t="shared" si="22"/>
        <v>1</v>
      </c>
      <c r="I218">
        <f t="shared" si="23"/>
        <v>0</v>
      </c>
    </row>
    <row r="219" spans="1:9" x14ac:dyDescent="0.25">
      <c r="A219" s="51">
        <v>213</v>
      </c>
      <c r="B219" s="51">
        <f t="shared" si="20"/>
        <v>95.89999999999975</v>
      </c>
      <c r="C219" s="51">
        <f t="shared" si="18"/>
        <v>0.8</v>
      </c>
      <c r="D219" s="51">
        <f t="shared" si="19"/>
        <v>0</v>
      </c>
      <c r="F219">
        <f t="shared" si="21"/>
        <v>1</v>
      </c>
      <c r="G219">
        <f t="shared" si="22"/>
        <v>1</v>
      </c>
      <c r="I219">
        <f t="shared" si="23"/>
        <v>0</v>
      </c>
    </row>
    <row r="220" spans="1:9" x14ac:dyDescent="0.25">
      <c r="A220" s="51">
        <v>214</v>
      </c>
      <c r="B220" s="51">
        <f t="shared" si="20"/>
        <v>96.699999999999747</v>
      </c>
      <c r="C220" s="51">
        <f t="shared" si="18"/>
        <v>0.8</v>
      </c>
      <c r="D220" s="51">
        <f t="shared" si="19"/>
        <v>0</v>
      </c>
      <c r="F220">
        <f t="shared" si="21"/>
        <v>1</v>
      </c>
      <c r="G220">
        <f t="shared" si="22"/>
        <v>1</v>
      </c>
      <c r="I220">
        <f t="shared" si="23"/>
        <v>0</v>
      </c>
    </row>
    <row r="221" spans="1:9" x14ac:dyDescent="0.25">
      <c r="A221" s="51">
        <v>215</v>
      </c>
      <c r="B221" s="51">
        <f t="shared" si="20"/>
        <v>97.499999999999744</v>
      </c>
      <c r="C221" s="51">
        <f t="shared" si="18"/>
        <v>0.8</v>
      </c>
      <c r="D221" s="51">
        <f t="shared" si="19"/>
        <v>0</v>
      </c>
      <c r="F221">
        <f t="shared" si="21"/>
        <v>1</v>
      </c>
      <c r="G221">
        <f t="shared" si="22"/>
        <v>1</v>
      </c>
      <c r="I221">
        <f t="shared" si="23"/>
        <v>0</v>
      </c>
    </row>
    <row r="222" spans="1:9" x14ac:dyDescent="0.25">
      <c r="A222" s="51">
        <v>216</v>
      </c>
      <c r="B222" s="51">
        <f t="shared" si="20"/>
        <v>98.299999999999741</v>
      </c>
      <c r="C222" s="51">
        <f t="shared" si="18"/>
        <v>0.8</v>
      </c>
      <c r="D222" s="51">
        <f t="shared" si="19"/>
        <v>0</v>
      </c>
      <c r="F222">
        <f t="shared" si="21"/>
        <v>1</v>
      </c>
      <c r="G222">
        <f t="shared" si="22"/>
        <v>1</v>
      </c>
      <c r="I222">
        <f t="shared" si="23"/>
        <v>0</v>
      </c>
    </row>
    <row r="223" spans="1:9" x14ac:dyDescent="0.25">
      <c r="A223" s="51">
        <v>217</v>
      </c>
      <c r="B223" s="51">
        <f t="shared" si="20"/>
        <v>99.099999999999739</v>
      </c>
      <c r="C223" s="51">
        <f t="shared" si="18"/>
        <v>0.8</v>
      </c>
      <c r="D223" s="51">
        <f t="shared" si="19"/>
        <v>0</v>
      </c>
      <c r="F223">
        <f t="shared" si="21"/>
        <v>1</v>
      </c>
      <c r="G223">
        <f t="shared" si="22"/>
        <v>1</v>
      </c>
      <c r="I223">
        <f t="shared" si="23"/>
        <v>0</v>
      </c>
    </row>
    <row r="224" spans="1:9" x14ac:dyDescent="0.25">
      <c r="A224" s="51">
        <v>218</v>
      </c>
      <c r="B224" s="51">
        <f t="shared" si="20"/>
        <v>99.899999999999736</v>
      </c>
      <c r="C224" s="51">
        <f t="shared" si="18"/>
        <v>0.8</v>
      </c>
      <c r="D224" s="51">
        <f t="shared" si="19"/>
        <v>0</v>
      </c>
      <c r="F224">
        <f t="shared" si="21"/>
        <v>1</v>
      </c>
      <c r="G224">
        <f t="shared" si="22"/>
        <v>1</v>
      </c>
      <c r="I224">
        <f t="shared" si="23"/>
        <v>0</v>
      </c>
    </row>
    <row r="225" spans="1:9" x14ac:dyDescent="0.25">
      <c r="A225" s="51">
        <v>219</v>
      </c>
      <c r="B225" s="51">
        <f t="shared" si="20"/>
        <v>100.69999999999973</v>
      </c>
      <c r="C225" s="51">
        <f t="shared" si="18"/>
        <v>0.8</v>
      </c>
      <c r="D225" s="51">
        <f t="shared" si="19"/>
        <v>0</v>
      </c>
      <c r="F225">
        <f t="shared" si="21"/>
        <v>1</v>
      </c>
      <c r="G225">
        <f t="shared" si="22"/>
        <v>1</v>
      </c>
      <c r="I225">
        <f t="shared" si="23"/>
        <v>0</v>
      </c>
    </row>
    <row r="226" spans="1:9" x14ac:dyDescent="0.25">
      <c r="A226" s="51">
        <v>220</v>
      </c>
      <c r="B226" s="51">
        <f t="shared" si="20"/>
        <v>101.49999999999973</v>
      </c>
      <c r="C226" s="51">
        <f t="shared" si="18"/>
        <v>0.8</v>
      </c>
      <c r="D226" s="51">
        <f t="shared" si="19"/>
        <v>0</v>
      </c>
      <c r="F226">
        <f t="shared" si="21"/>
        <v>1</v>
      </c>
      <c r="G226">
        <f t="shared" si="22"/>
        <v>1</v>
      </c>
      <c r="I226">
        <f t="shared" si="23"/>
        <v>0</v>
      </c>
    </row>
    <row r="227" spans="1:9" x14ac:dyDescent="0.25">
      <c r="A227" s="51">
        <v>221</v>
      </c>
      <c r="B227" s="51">
        <f t="shared" si="20"/>
        <v>102.29999999999973</v>
      </c>
      <c r="C227" s="51">
        <f t="shared" si="18"/>
        <v>0.8</v>
      </c>
      <c r="D227" s="51">
        <f t="shared" si="19"/>
        <v>0</v>
      </c>
      <c r="F227">
        <f t="shared" si="21"/>
        <v>1</v>
      </c>
      <c r="G227">
        <f t="shared" si="22"/>
        <v>1</v>
      </c>
      <c r="I227">
        <f t="shared" si="23"/>
        <v>0</v>
      </c>
    </row>
    <row r="228" spans="1:9" x14ac:dyDescent="0.25">
      <c r="A228" s="51">
        <v>222</v>
      </c>
      <c r="B228" s="51">
        <f t="shared" si="20"/>
        <v>103.09999999999972</v>
      </c>
      <c r="C228" s="51">
        <f t="shared" si="18"/>
        <v>0.8</v>
      </c>
      <c r="D228" s="51">
        <f t="shared" si="19"/>
        <v>0</v>
      </c>
      <c r="F228">
        <f t="shared" si="21"/>
        <v>1</v>
      </c>
      <c r="G228">
        <f t="shared" si="22"/>
        <v>1</v>
      </c>
      <c r="I228">
        <f t="shared" si="23"/>
        <v>0</v>
      </c>
    </row>
    <row r="229" spans="1:9" x14ac:dyDescent="0.25">
      <c r="A229" s="51">
        <v>223</v>
      </c>
      <c r="B229" s="51">
        <f t="shared" si="20"/>
        <v>103.89999999999972</v>
      </c>
      <c r="C229" s="51">
        <f t="shared" si="18"/>
        <v>0.8</v>
      </c>
      <c r="D229" s="51">
        <f t="shared" si="19"/>
        <v>0</v>
      </c>
      <c r="F229">
        <f t="shared" si="21"/>
        <v>1</v>
      </c>
      <c r="G229">
        <f t="shared" si="22"/>
        <v>1</v>
      </c>
      <c r="I229">
        <f t="shared" si="23"/>
        <v>0</v>
      </c>
    </row>
    <row r="230" spans="1:9" x14ac:dyDescent="0.25">
      <c r="A230" s="51">
        <v>224</v>
      </c>
      <c r="B230" s="51">
        <f t="shared" si="20"/>
        <v>104.69999999999972</v>
      </c>
      <c r="C230" s="51">
        <f t="shared" si="18"/>
        <v>0.8</v>
      </c>
      <c r="D230" s="51">
        <f t="shared" si="19"/>
        <v>0</v>
      </c>
      <c r="F230">
        <f t="shared" si="21"/>
        <v>1</v>
      </c>
      <c r="G230">
        <f t="shared" si="22"/>
        <v>1</v>
      </c>
      <c r="I230">
        <f t="shared" si="23"/>
        <v>0</v>
      </c>
    </row>
    <row r="231" spans="1:9" x14ac:dyDescent="0.25">
      <c r="A231" s="51">
        <v>225</v>
      </c>
      <c r="B231" s="51">
        <f t="shared" si="20"/>
        <v>105.49999999999972</v>
      </c>
      <c r="C231" s="51">
        <f t="shared" si="18"/>
        <v>0.8</v>
      </c>
      <c r="D231" s="51">
        <f t="shared" si="19"/>
        <v>0</v>
      </c>
      <c r="F231">
        <f t="shared" si="21"/>
        <v>1</v>
      </c>
      <c r="G231">
        <f t="shared" si="22"/>
        <v>1</v>
      </c>
      <c r="I231">
        <f t="shared" si="23"/>
        <v>0</v>
      </c>
    </row>
    <row r="232" spans="1:9" x14ac:dyDescent="0.25">
      <c r="A232" s="51">
        <v>226</v>
      </c>
      <c r="B232" s="51">
        <f t="shared" si="20"/>
        <v>106.29999999999971</v>
      </c>
      <c r="C232" s="51">
        <f t="shared" si="18"/>
        <v>0.8</v>
      </c>
      <c r="D232" s="51">
        <f t="shared" si="19"/>
        <v>0</v>
      </c>
      <c r="F232">
        <f t="shared" si="21"/>
        <v>1</v>
      </c>
      <c r="G232">
        <f t="shared" si="22"/>
        <v>1</v>
      </c>
      <c r="I232">
        <f t="shared" si="23"/>
        <v>0</v>
      </c>
    </row>
    <row r="233" spans="1:9" x14ac:dyDescent="0.25">
      <c r="A233" s="51">
        <v>227</v>
      </c>
      <c r="B233" s="51">
        <f t="shared" si="20"/>
        <v>107.09999999999971</v>
      </c>
      <c r="C233" s="51">
        <f t="shared" si="18"/>
        <v>0.8</v>
      </c>
      <c r="D233" s="51">
        <f t="shared" si="19"/>
        <v>0</v>
      </c>
      <c r="F233">
        <f t="shared" si="21"/>
        <v>1</v>
      </c>
      <c r="G233">
        <f t="shared" si="22"/>
        <v>1</v>
      </c>
      <c r="I233">
        <f t="shared" si="23"/>
        <v>0</v>
      </c>
    </row>
    <row r="234" spans="1:9" x14ac:dyDescent="0.25">
      <c r="A234" s="51">
        <v>228</v>
      </c>
      <c r="B234" s="51">
        <f t="shared" si="20"/>
        <v>107.89999999999971</v>
      </c>
      <c r="C234" s="51">
        <f t="shared" si="18"/>
        <v>0.8</v>
      </c>
      <c r="D234" s="51">
        <f t="shared" si="19"/>
        <v>0</v>
      </c>
      <c r="F234">
        <f t="shared" si="21"/>
        <v>1</v>
      </c>
      <c r="G234">
        <f t="shared" si="22"/>
        <v>1</v>
      </c>
      <c r="I234">
        <f t="shared" si="23"/>
        <v>0</v>
      </c>
    </row>
    <row r="235" spans="1:9" x14ac:dyDescent="0.25">
      <c r="A235" s="51">
        <v>229</v>
      </c>
      <c r="B235" s="51">
        <f t="shared" si="20"/>
        <v>108.6999999999997</v>
      </c>
      <c r="C235" s="51">
        <f t="shared" si="18"/>
        <v>0.8</v>
      </c>
      <c r="D235" s="51">
        <f t="shared" si="19"/>
        <v>0</v>
      </c>
      <c r="F235">
        <f t="shared" si="21"/>
        <v>1</v>
      </c>
      <c r="G235">
        <f t="shared" si="22"/>
        <v>1</v>
      </c>
      <c r="I235">
        <f t="shared" si="23"/>
        <v>0</v>
      </c>
    </row>
    <row r="236" spans="1:9" x14ac:dyDescent="0.25">
      <c r="A236" s="51">
        <v>230</v>
      </c>
      <c r="B236" s="51">
        <f t="shared" si="20"/>
        <v>109.4999999999997</v>
      </c>
      <c r="C236" s="51">
        <f t="shared" si="18"/>
        <v>0.8</v>
      </c>
      <c r="D236" s="51">
        <f t="shared" si="19"/>
        <v>0</v>
      </c>
      <c r="F236">
        <f t="shared" si="21"/>
        <v>1</v>
      </c>
      <c r="G236">
        <f t="shared" si="22"/>
        <v>1</v>
      </c>
      <c r="I236">
        <f t="shared" si="23"/>
        <v>0</v>
      </c>
    </row>
    <row r="237" spans="1:9" x14ac:dyDescent="0.25">
      <c r="A237" s="51">
        <v>231</v>
      </c>
      <c r="B237" s="51">
        <f t="shared" si="20"/>
        <v>110.2999999999997</v>
      </c>
      <c r="C237" s="51">
        <f t="shared" si="18"/>
        <v>0.8</v>
      </c>
      <c r="D237" s="51">
        <f t="shared" si="19"/>
        <v>0</v>
      </c>
      <c r="F237">
        <f t="shared" si="21"/>
        <v>1</v>
      </c>
      <c r="G237">
        <f t="shared" si="22"/>
        <v>1</v>
      </c>
      <c r="I237">
        <f t="shared" si="23"/>
        <v>0</v>
      </c>
    </row>
    <row r="238" spans="1:9" x14ac:dyDescent="0.25">
      <c r="A238" s="51">
        <v>232</v>
      </c>
      <c r="B238" s="51">
        <f t="shared" si="20"/>
        <v>111.0999999999997</v>
      </c>
      <c r="C238" s="51">
        <f t="shared" si="18"/>
        <v>0.8</v>
      </c>
      <c r="D238" s="51">
        <f t="shared" si="19"/>
        <v>0</v>
      </c>
      <c r="F238">
        <f t="shared" si="21"/>
        <v>1</v>
      </c>
      <c r="G238">
        <f t="shared" si="22"/>
        <v>1</v>
      </c>
      <c r="I238">
        <f t="shared" si="23"/>
        <v>0</v>
      </c>
    </row>
    <row r="239" spans="1:9" x14ac:dyDescent="0.25">
      <c r="A239" s="51">
        <v>233</v>
      </c>
      <c r="B239" s="51">
        <f t="shared" si="20"/>
        <v>111.89999999999969</v>
      </c>
      <c r="C239" s="51">
        <f t="shared" si="18"/>
        <v>0.8</v>
      </c>
      <c r="D239" s="51">
        <f t="shared" si="19"/>
        <v>0</v>
      </c>
      <c r="F239">
        <f t="shared" si="21"/>
        <v>1</v>
      </c>
      <c r="G239">
        <f t="shared" si="22"/>
        <v>1</v>
      </c>
      <c r="I239">
        <f t="shared" si="23"/>
        <v>0</v>
      </c>
    </row>
    <row r="240" spans="1:9" x14ac:dyDescent="0.25">
      <c r="A240" s="51">
        <v>234</v>
      </c>
      <c r="B240" s="51">
        <f t="shared" si="20"/>
        <v>112.69999999999969</v>
      </c>
      <c r="C240" s="51">
        <f t="shared" si="18"/>
        <v>0.8</v>
      </c>
      <c r="D240" s="51">
        <f t="shared" si="19"/>
        <v>0</v>
      </c>
      <c r="F240">
        <f t="shared" si="21"/>
        <v>1</v>
      </c>
      <c r="G240">
        <f t="shared" si="22"/>
        <v>1</v>
      </c>
      <c r="I240">
        <f t="shared" si="23"/>
        <v>0</v>
      </c>
    </row>
    <row r="241" spans="1:9" x14ac:dyDescent="0.25">
      <c r="A241" s="51">
        <v>235</v>
      </c>
      <c r="B241" s="51">
        <f t="shared" si="20"/>
        <v>113.49999999999969</v>
      </c>
      <c r="C241" s="51">
        <f t="shared" si="18"/>
        <v>0.8</v>
      </c>
      <c r="D241" s="51">
        <f t="shared" si="19"/>
        <v>0</v>
      </c>
      <c r="F241">
        <f t="shared" si="21"/>
        <v>1</v>
      </c>
      <c r="G241">
        <f t="shared" si="22"/>
        <v>1</v>
      </c>
      <c r="I241">
        <f t="shared" si="23"/>
        <v>0</v>
      </c>
    </row>
    <row r="242" spans="1:9" x14ac:dyDescent="0.25">
      <c r="A242" s="51">
        <v>236</v>
      </c>
      <c r="B242" s="51">
        <f t="shared" si="20"/>
        <v>114.29999999999968</v>
      </c>
      <c r="C242" s="51">
        <f t="shared" si="18"/>
        <v>0.8</v>
      </c>
      <c r="D242" s="51">
        <f t="shared" si="19"/>
        <v>0</v>
      </c>
      <c r="F242">
        <f t="shared" si="21"/>
        <v>1</v>
      </c>
      <c r="G242">
        <f t="shared" si="22"/>
        <v>1</v>
      </c>
      <c r="I242">
        <f t="shared" si="23"/>
        <v>0</v>
      </c>
    </row>
    <row r="243" spans="1:9" x14ac:dyDescent="0.25">
      <c r="A243" s="51">
        <v>237</v>
      </c>
      <c r="B243" s="51">
        <f t="shared" si="20"/>
        <v>115.09999999999968</v>
      </c>
      <c r="C243" s="51">
        <f t="shared" si="18"/>
        <v>0.8</v>
      </c>
      <c r="D243" s="51">
        <f t="shared" si="19"/>
        <v>0</v>
      </c>
      <c r="F243">
        <f t="shared" si="21"/>
        <v>1</v>
      </c>
      <c r="G243">
        <f t="shared" si="22"/>
        <v>1</v>
      </c>
      <c r="I243">
        <f t="shared" si="23"/>
        <v>0</v>
      </c>
    </row>
    <row r="244" spans="1:9" x14ac:dyDescent="0.25">
      <c r="A244" s="51">
        <v>238</v>
      </c>
      <c r="B244" s="51">
        <f t="shared" si="20"/>
        <v>115.89999999999968</v>
      </c>
      <c r="C244" s="51">
        <f t="shared" si="18"/>
        <v>0.8</v>
      </c>
      <c r="D244" s="51">
        <f t="shared" si="19"/>
        <v>0</v>
      </c>
      <c r="F244">
        <f t="shared" si="21"/>
        <v>1</v>
      </c>
      <c r="G244">
        <f t="shared" si="22"/>
        <v>1</v>
      </c>
      <c r="I244">
        <f t="shared" si="23"/>
        <v>0</v>
      </c>
    </row>
    <row r="245" spans="1:9" x14ac:dyDescent="0.25">
      <c r="A245" s="51">
        <v>239</v>
      </c>
      <c r="B245" s="51">
        <f t="shared" si="20"/>
        <v>116.69999999999968</v>
      </c>
      <c r="C245" s="51">
        <f t="shared" si="18"/>
        <v>0.8</v>
      </c>
      <c r="D245" s="51">
        <f t="shared" si="19"/>
        <v>0</v>
      </c>
      <c r="F245">
        <f t="shared" si="21"/>
        <v>1</v>
      </c>
      <c r="G245">
        <f t="shared" si="22"/>
        <v>1</v>
      </c>
      <c r="I245">
        <f t="shared" si="23"/>
        <v>0</v>
      </c>
    </row>
    <row r="246" spans="1:9" x14ac:dyDescent="0.25">
      <c r="A246" s="51">
        <v>240</v>
      </c>
      <c r="B246" s="51">
        <f t="shared" si="20"/>
        <v>117.49999999999967</v>
      </c>
      <c r="C246" s="51">
        <f t="shared" si="18"/>
        <v>0.8</v>
      </c>
      <c r="D246" s="51">
        <f t="shared" si="19"/>
        <v>0</v>
      </c>
      <c r="F246">
        <f t="shared" si="21"/>
        <v>1</v>
      </c>
      <c r="G246">
        <f t="shared" si="22"/>
        <v>1</v>
      </c>
      <c r="I246">
        <f t="shared" si="23"/>
        <v>0</v>
      </c>
    </row>
    <row r="247" spans="1:9" x14ac:dyDescent="0.25">
      <c r="A247" s="51">
        <v>241</v>
      </c>
      <c r="B247" s="51">
        <f t="shared" si="20"/>
        <v>118.29999999999967</v>
      </c>
      <c r="C247" s="51">
        <f t="shared" si="18"/>
        <v>0.8</v>
      </c>
      <c r="D247" s="51">
        <f t="shared" si="19"/>
        <v>0</v>
      </c>
      <c r="F247">
        <f t="shared" si="21"/>
        <v>1</v>
      </c>
      <c r="G247">
        <f t="shared" si="22"/>
        <v>1</v>
      </c>
      <c r="I247">
        <f t="shared" si="23"/>
        <v>0</v>
      </c>
    </row>
    <row r="248" spans="1:9" x14ac:dyDescent="0.25">
      <c r="A248" s="51">
        <v>242</v>
      </c>
      <c r="B248" s="51">
        <f t="shared" si="20"/>
        <v>119.09999999999967</v>
      </c>
      <c r="C248" s="51">
        <f t="shared" si="18"/>
        <v>0.8</v>
      </c>
      <c r="D248" s="51">
        <f t="shared" si="19"/>
        <v>0</v>
      </c>
      <c r="F248">
        <f t="shared" si="21"/>
        <v>1</v>
      </c>
      <c r="G248">
        <f t="shared" si="22"/>
        <v>1</v>
      </c>
      <c r="I248">
        <f t="shared" si="23"/>
        <v>0</v>
      </c>
    </row>
    <row r="249" spans="1:9" x14ac:dyDescent="0.25">
      <c r="A249" s="51">
        <v>243</v>
      </c>
      <c r="B249" s="51">
        <f t="shared" si="20"/>
        <v>119.89999999999966</v>
      </c>
      <c r="C249" s="51">
        <f t="shared" si="18"/>
        <v>0.8</v>
      </c>
      <c r="D249" s="51">
        <f t="shared" si="19"/>
        <v>0</v>
      </c>
      <c r="F249">
        <f t="shared" si="21"/>
        <v>1</v>
      </c>
      <c r="G249">
        <f t="shared" si="22"/>
        <v>1</v>
      </c>
      <c r="I249">
        <f t="shared" si="23"/>
        <v>0</v>
      </c>
    </row>
    <row r="250" spans="1:9" x14ac:dyDescent="0.25">
      <c r="A250" s="51">
        <v>244</v>
      </c>
      <c r="B250" s="51">
        <f t="shared" si="20"/>
        <v>120.69999999999966</v>
      </c>
      <c r="C250" s="51">
        <f t="shared" si="18"/>
        <v>0.8</v>
      </c>
      <c r="D250" s="51">
        <f t="shared" si="19"/>
        <v>0</v>
      </c>
      <c r="F250">
        <f t="shared" si="21"/>
        <v>1</v>
      </c>
      <c r="G250">
        <f t="shared" si="22"/>
        <v>1</v>
      </c>
      <c r="I250">
        <f t="shared" si="23"/>
        <v>0</v>
      </c>
    </row>
    <row r="251" spans="1:9" x14ac:dyDescent="0.25">
      <c r="A251" s="51">
        <v>245</v>
      </c>
      <c r="B251" s="51">
        <f t="shared" si="20"/>
        <v>121.49999999999966</v>
      </c>
      <c r="C251" s="51">
        <f t="shared" si="18"/>
        <v>0.8</v>
      </c>
      <c r="D251" s="51">
        <f t="shared" si="19"/>
        <v>0</v>
      </c>
      <c r="F251">
        <f t="shared" si="21"/>
        <v>1</v>
      </c>
      <c r="G251">
        <f t="shared" si="22"/>
        <v>1</v>
      </c>
      <c r="I251">
        <f t="shared" si="23"/>
        <v>0</v>
      </c>
    </row>
    <row r="252" spans="1:9" x14ac:dyDescent="0.25">
      <c r="A252" s="51">
        <v>246</v>
      </c>
      <c r="B252" s="51">
        <f t="shared" si="20"/>
        <v>122.29999999999966</v>
      </c>
      <c r="C252" s="51">
        <f t="shared" si="18"/>
        <v>0.8</v>
      </c>
      <c r="D252" s="51">
        <f t="shared" si="19"/>
        <v>0</v>
      </c>
      <c r="F252">
        <f t="shared" si="21"/>
        <v>1</v>
      </c>
      <c r="G252">
        <f t="shared" si="22"/>
        <v>1</v>
      </c>
      <c r="I252">
        <f t="shared" si="23"/>
        <v>0</v>
      </c>
    </row>
    <row r="253" spans="1:9" x14ac:dyDescent="0.25">
      <c r="A253" s="51">
        <v>247</v>
      </c>
      <c r="B253" s="51">
        <f t="shared" si="20"/>
        <v>123.09999999999965</v>
      </c>
      <c r="C253" s="51">
        <f t="shared" si="18"/>
        <v>0.8</v>
      </c>
      <c r="D253" s="51">
        <f t="shared" si="19"/>
        <v>0</v>
      </c>
      <c r="F253">
        <f t="shared" si="21"/>
        <v>1</v>
      </c>
      <c r="G253">
        <f t="shared" si="22"/>
        <v>1</v>
      </c>
      <c r="I253">
        <f t="shared" si="23"/>
        <v>0</v>
      </c>
    </row>
    <row r="254" spans="1:9" x14ac:dyDescent="0.25">
      <c r="A254" s="51">
        <v>248</v>
      </c>
      <c r="B254" s="51">
        <f t="shared" si="20"/>
        <v>123.89999999999965</v>
      </c>
      <c r="C254" s="51">
        <f t="shared" si="18"/>
        <v>0.8</v>
      </c>
      <c r="D254" s="51">
        <f t="shared" si="19"/>
        <v>0</v>
      </c>
      <c r="F254">
        <f t="shared" si="21"/>
        <v>1</v>
      </c>
      <c r="G254">
        <f t="shared" si="22"/>
        <v>1</v>
      </c>
      <c r="I254">
        <f t="shared" si="23"/>
        <v>0</v>
      </c>
    </row>
    <row r="255" spans="1:9" x14ac:dyDescent="0.25">
      <c r="A255" s="51">
        <v>249</v>
      </c>
      <c r="B255" s="51">
        <f t="shared" si="20"/>
        <v>124.69999999999965</v>
      </c>
      <c r="C255" s="51">
        <f t="shared" si="18"/>
        <v>0.8</v>
      </c>
      <c r="D255" s="51">
        <f t="shared" si="19"/>
        <v>0</v>
      </c>
      <c r="F255">
        <f t="shared" si="21"/>
        <v>1</v>
      </c>
      <c r="G255">
        <f t="shared" si="22"/>
        <v>1</v>
      </c>
      <c r="I255">
        <f t="shared" si="23"/>
        <v>0</v>
      </c>
    </row>
    <row r="256" spans="1:9" x14ac:dyDescent="0.25">
      <c r="A256" s="51">
        <v>250</v>
      </c>
      <c r="B256" s="51">
        <f t="shared" si="20"/>
        <v>125.49999999999964</v>
      </c>
      <c r="C256" s="51">
        <f t="shared" si="18"/>
        <v>0.8</v>
      </c>
      <c r="D256" s="51">
        <f t="shared" si="19"/>
        <v>0</v>
      </c>
      <c r="F256">
        <f t="shared" si="21"/>
        <v>1</v>
      </c>
      <c r="G256">
        <f t="shared" si="22"/>
        <v>1</v>
      </c>
      <c r="I256">
        <f t="shared" si="23"/>
        <v>0</v>
      </c>
    </row>
    <row r="257" spans="1:9" x14ac:dyDescent="0.25">
      <c r="A257" s="51">
        <v>251</v>
      </c>
      <c r="B257" s="51">
        <f t="shared" si="20"/>
        <v>126.29999999999964</v>
      </c>
      <c r="C257" s="51">
        <f t="shared" si="18"/>
        <v>0.8</v>
      </c>
      <c r="D257" s="51">
        <f t="shared" si="19"/>
        <v>0</v>
      </c>
      <c r="F257">
        <f t="shared" si="21"/>
        <v>1</v>
      </c>
      <c r="G257">
        <f t="shared" si="22"/>
        <v>1</v>
      </c>
      <c r="I257">
        <f t="shared" si="23"/>
        <v>0</v>
      </c>
    </row>
    <row r="258" spans="1:9" x14ac:dyDescent="0.25">
      <c r="A258" s="51">
        <v>252</v>
      </c>
      <c r="B258" s="51">
        <f t="shared" si="20"/>
        <v>127.09999999999964</v>
      </c>
      <c r="C258" s="51">
        <f t="shared" si="18"/>
        <v>0.8</v>
      </c>
      <c r="D258" s="51">
        <f t="shared" si="19"/>
        <v>0</v>
      </c>
      <c r="F258">
        <f t="shared" si="21"/>
        <v>1</v>
      </c>
      <c r="G258">
        <f t="shared" si="22"/>
        <v>1</v>
      </c>
      <c r="I258">
        <f t="shared" si="23"/>
        <v>0</v>
      </c>
    </row>
    <row r="259" spans="1:9" x14ac:dyDescent="0.25">
      <c r="A259" s="51">
        <v>253</v>
      </c>
      <c r="B259" s="51">
        <f t="shared" si="20"/>
        <v>127.89999999999964</v>
      </c>
      <c r="C259" s="51">
        <f t="shared" si="18"/>
        <v>0.8</v>
      </c>
      <c r="D259" s="51">
        <f t="shared" si="19"/>
        <v>0</v>
      </c>
      <c r="F259">
        <f t="shared" si="21"/>
        <v>1</v>
      </c>
      <c r="G259">
        <f t="shared" si="22"/>
        <v>1</v>
      </c>
      <c r="I259">
        <f t="shared" si="23"/>
        <v>0</v>
      </c>
    </row>
    <row r="260" spans="1:9" x14ac:dyDescent="0.25">
      <c r="A260" s="51">
        <v>254</v>
      </c>
      <c r="B260" s="51">
        <f t="shared" si="20"/>
        <v>128.69999999999965</v>
      </c>
      <c r="C260" s="51">
        <f t="shared" si="18"/>
        <v>0.8</v>
      </c>
      <c r="D260" s="51">
        <f t="shared" si="19"/>
        <v>0</v>
      </c>
      <c r="F260">
        <f t="shared" si="21"/>
        <v>1</v>
      </c>
      <c r="G260">
        <f t="shared" si="22"/>
        <v>1</v>
      </c>
      <c r="I260">
        <f t="shared" si="23"/>
        <v>0</v>
      </c>
    </row>
    <row r="261" spans="1:9" x14ac:dyDescent="0.25">
      <c r="A261" s="51">
        <v>255</v>
      </c>
      <c r="B261" s="51">
        <f t="shared" si="20"/>
        <v>129.49999999999966</v>
      </c>
      <c r="C261" s="51">
        <f t="shared" si="18"/>
        <v>0.8</v>
      </c>
      <c r="D261" s="51">
        <f t="shared" si="19"/>
        <v>0</v>
      </c>
      <c r="F261">
        <f t="shared" si="21"/>
        <v>1</v>
      </c>
      <c r="G261">
        <f t="shared" si="22"/>
        <v>1</v>
      </c>
      <c r="I261">
        <f t="shared" si="23"/>
        <v>0</v>
      </c>
    </row>
    <row r="262" spans="1:9" x14ac:dyDescent="0.25">
      <c r="A262" s="51">
        <v>256</v>
      </c>
      <c r="B262" s="51">
        <f t="shared" si="20"/>
        <v>130.29999999999967</v>
      </c>
      <c r="C262" s="51">
        <f t="shared" si="18"/>
        <v>0.8</v>
      </c>
      <c r="D262" s="51">
        <f t="shared" si="19"/>
        <v>0</v>
      </c>
      <c r="F262">
        <f t="shared" si="21"/>
        <v>1</v>
      </c>
      <c r="G262">
        <f t="shared" si="22"/>
        <v>1</v>
      </c>
      <c r="I262">
        <f t="shared" si="23"/>
        <v>0</v>
      </c>
    </row>
    <row r="263" spans="1:9" x14ac:dyDescent="0.25">
      <c r="A263" s="51">
        <v>257</v>
      </c>
      <c r="B263" s="51">
        <f t="shared" si="20"/>
        <v>131.09999999999968</v>
      </c>
      <c r="C263" s="51">
        <f t="shared" si="18"/>
        <v>0.8</v>
      </c>
      <c r="D263" s="51">
        <f t="shared" si="19"/>
        <v>0</v>
      </c>
      <c r="F263">
        <f t="shared" si="21"/>
        <v>1</v>
      </c>
      <c r="G263">
        <f t="shared" si="22"/>
        <v>1</v>
      </c>
      <c r="I263">
        <f t="shared" si="23"/>
        <v>0</v>
      </c>
    </row>
    <row r="264" spans="1:9" x14ac:dyDescent="0.25">
      <c r="A264" s="51">
        <v>258</v>
      </c>
      <c r="B264" s="51">
        <f t="shared" si="20"/>
        <v>131.89999999999969</v>
      </c>
      <c r="C264" s="51">
        <f t="shared" ref="C264:C327" si="24">F264*$G$3+G264*$G$4</f>
        <v>0.8</v>
      </c>
      <c r="D264" s="51">
        <f t="shared" ref="D264:D327" si="25">I264*$J$3</f>
        <v>0</v>
      </c>
      <c r="F264">
        <f t="shared" si="21"/>
        <v>1</v>
      </c>
      <c r="G264">
        <f t="shared" si="22"/>
        <v>1</v>
      </c>
      <c r="I264">
        <f t="shared" si="23"/>
        <v>0</v>
      </c>
    </row>
    <row r="265" spans="1:9" x14ac:dyDescent="0.25">
      <c r="A265" s="51">
        <v>259</v>
      </c>
      <c r="B265" s="51">
        <f t="shared" si="20"/>
        <v>132.6999999999997</v>
      </c>
      <c r="C265" s="51">
        <f t="shared" si="24"/>
        <v>0.8</v>
      </c>
      <c r="D265" s="51">
        <f t="shared" si="25"/>
        <v>0</v>
      </c>
      <c r="F265">
        <f t="shared" si="21"/>
        <v>1</v>
      </c>
      <c r="G265">
        <f t="shared" si="22"/>
        <v>1</v>
      </c>
      <c r="I265">
        <f t="shared" si="23"/>
        <v>0</v>
      </c>
    </row>
    <row r="266" spans="1:9" x14ac:dyDescent="0.25">
      <c r="A266" s="51">
        <v>260</v>
      </c>
      <c r="B266" s="51">
        <f t="shared" ref="B266:B329" si="26">B265+C266-D266</f>
        <v>133.49999999999972</v>
      </c>
      <c r="C266" s="51">
        <f t="shared" si="24"/>
        <v>0.8</v>
      </c>
      <c r="D266" s="51">
        <f t="shared" si="25"/>
        <v>0</v>
      </c>
      <c r="F266">
        <f t="shared" ref="F266:F329" si="27">F265</f>
        <v>1</v>
      </c>
      <c r="G266">
        <f t="shared" ref="G266:G329" si="28">G265</f>
        <v>1</v>
      </c>
      <c r="I266">
        <f t="shared" ref="I266:I329" si="29">I265</f>
        <v>0</v>
      </c>
    </row>
    <row r="267" spans="1:9" x14ac:dyDescent="0.25">
      <c r="A267" s="51">
        <v>261</v>
      </c>
      <c r="B267" s="51">
        <f t="shared" si="26"/>
        <v>134.29999999999973</v>
      </c>
      <c r="C267" s="51">
        <f t="shared" si="24"/>
        <v>0.8</v>
      </c>
      <c r="D267" s="51">
        <f t="shared" si="25"/>
        <v>0</v>
      </c>
      <c r="F267">
        <f t="shared" si="27"/>
        <v>1</v>
      </c>
      <c r="G267">
        <f t="shared" si="28"/>
        <v>1</v>
      </c>
      <c r="I267">
        <f t="shared" si="29"/>
        <v>0</v>
      </c>
    </row>
    <row r="268" spans="1:9" x14ac:dyDescent="0.25">
      <c r="A268" s="51">
        <v>262</v>
      </c>
      <c r="B268" s="51">
        <f t="shared" si="26"/>
        <v>135.09999999999974</v>
      </c>
      <c r="C268" s="51">
        <f t="shared" si="24"/>
        <v>0.8</v>
      </c>
      <c r="D268" s="51">
        <f t="shared" si="25"/>
        <v>0</v>
      </c>
      <c r="F268">
        <f t="shared" si="27"/>
        <v>1</v>
      </c>
      <c r="G268">
        <f t="shared" si="28"/>
        <v>1</v>
      </c>
      <c r="I268">
        <f t="shared" si="29"/>
        <v>0</v>
      </c>
    </row>
    <row r="269" spans="1:9" x14ac:dyDescent="0.25">
      <c r="A269" s="51">
        <v>263</v>
      </c>
      <c r="B269" s="51">
        <f t="shared" si="26"/>
        <v>135.89999999999975</v>
      </c>
      <c r="C269" s="51">
        <f t="shared" si="24"/>
        <v>0.8</v>
      </c>
      <c r="D269" s="51">
        <f t="shared" si="25"/>
        <v>0</v>
      </c>
      <c r="F269">
        <f t="shared" si="27"/>
        <v>1</v>
      </c>
      <c r="G269">
        <f t="shared" si="28"/>
        <v>1</v>
      </c>
      <c r="I269">
        <f t="shared" si="29"/>
        <v>0</v>
      </c>
    </row>
    <row r="270" spans="1:9" x14ac:dyDescent="0.25">
      <c r="A270" s="51">
        <v>264</v>
      </c>
      <c r="B270" s="51">
        <f t="shared" si="26"/>
        <v>136.69999999999976</v>
      </c>
      <c r="C270" s="51">
        <f t="shared" si="24"/>
        <v>0.8</v>
      </c>
      <c r="D270" s="51">
        <f t="shared" si="25"/>
        <v>0</v>
      </c>
      <c r="F270">
        <f t="shared" si="27"/>
        <v>1</v>
      </c>
      <c r="G270">
        <f t="shared" si="28"/>
        <v>1</v>
      </c>
      <c r="I270">
        <f t="shared" si="29"/>
        <v>0</v>
      </c>
    </row>
    <row r="271" spans="1:9" x14ac:dyDescent="0.25">
      <c r="A271" s="51">
        <v>265</v>
      </c>
      <c r="B271" s="51">
        <f t="shared" si="26"/>
        <v>137.49999999999977</v>
      </c>
      <c r="C271" s="51">
        <f t="shared" si="24"/>
        <v>0.8</v>
      </c>
      <c r="D271" s="51">
        <f t="shared" si="25"/>
        <v>0</v>
      </c>
      <c r="F271">
        <f t="shared" si="27"/>
        <v>1</v>
      </c>
      <c r="G271">
        <f t="shared" si="28"/>
        <v>1</v>
      </c>
      <c r="I271">
        <f t="shared" si="29"/>
        <v>0</v>
      </c>
    </row>
    <row r="272" spans="1:9" x14ac:dyDescent="0.25">
      <c r="A272" s="51">
        <v>266</v>
      </c>
      <c r="B272" s="51">
        <f t="shared" si="26"/>
        <v>138.29999999999978</v>
      </c>
      <c r="C272" s="51">
        <f t="shared" si="24"/>
        <v>0.8</v>
      </c>
      <c r="D272" s="51">
        <f t="shared" si="25"/>
        <v>0</v>
      </c>
      <c r="F272">
        <f t="shared" si="27"/>
        <v>1</v>
      </c>
      <c r="G272">
        <f t="shared" si="28"/>
        <v>1</v>
      </c>
      <c r="I272">
        <f t="shared" si="29"/>
        <v>0</v>
      </c>
    </row>
    <row r="273" spans="1:9" x14ac:dyDescent="0.25">
      <c r="A273" s="51">
        <v>267</v>
      </c>
      <c r="B273" s="51">
        <f t="shared" si="26"/>
        <v>139.0999999999998</v>
      </c>
      <c r="C273" s="51">
        <f t="shared" si="24"/>
        <v>0.8</v>
      </c>
      <c r="D273" s="51">
        <f t="shared" si="25"/>
        <v>0</v>
      </c>
      <c r="F273">
        <f t="shared" si="27"/>
        <v>1</v>
      </c>
      <c r="G273">
        <f t="shared" si="28"/>
        <v>1</v>
      </c>
      <c r="I273">
        <f t="shared" si="29"/>
        <v>0</v>
      </c>
    </row>
    <row r="274" spans="1:9" x14ac:dyDescent="0.25">
      <c r="A274" s="51">
        <v>268</v>
      </c>
      <c r="B274" s="51">
        <f t="shared" si="26"/>
        <v>139.89999999999981</v>
      </c>
      <c r="C274" s="51">
        <f t="shared" si="24"/>
        <v>0.8</v>
      </c>
      <c r="D274" s="51">
        <f t="shared" si="25"/>
        <v>0</v>
      </c>
      <c r="F274">
        <f t="shared" si="27"/>
        <v>1</v>
      </c>
      <c r="G274">
        <f t="shared" si="28"/>
        <v>1</v>
      </c>
      <c r="I274">
        <f t="shared" si="29"/>
        <v>0</v>
      </c>
    </row>
    <row r="275" spans="1:9" x14ac:dyDescent="0.25">
      <c r="A275" s="51">
        <v>269</v>
      </c>
      <c r="B275" s="51">
        <f t="shared" si="26"/>
        <v>140.69999999999982</v>
      </c>
      <c r="C275" s="51">
        <f t="shared" si="24"/>
        <v>0.8</v>
      </c>
      <c r="D275" s="51">
        <f t="shared" si="25"/>
        <v>0</v>
      </c>
      <c r="F275">
        <f t="shared" si="27"/>
        <v>1</v>
      </c>
      <c r="G275">
        <f t="shared" si="28"/>
        <v>1</v>
      </c>
      <c r="I275">
        <f t="shared" si="29"/>
        <v>0</v>
      </c>
    </row>
    <row r="276" spans="1:9" x14ac:dyDescent="0.25">
      <c r="A276" s="51">
        <v>270</v>
      </c>
      <c r="B276" s="51">
        <f t="shared" si="26"/>
        <v>141.49999999999983</v>
      </c>
      <c r="C276" s="51">
        <f t="shared" si="24"/>
        <v>0.8</v>
      </c>
      <c r="D276" s="51">
        <f t="shared" si="25"/>
        <v>0</v>
      </c>
      <c r="F276">
        <f t="shared" si="27"/>
        <v>1</v>
      </c>
      <c r="G276">
        <f t="shared" si="28"/>
        <v>1</v>
      </c>
      <c r="I276">
        <f t="shared" si="29"/>
        <v>0</v>
      </c>
    </row>
    <row r="277" spans="1:9" x14ac:dyDescent="0.25">
      <c r="A277" s="51">
        <v>271</v>
      </c>
      <c r="B277" s="51">
        <f t="shared" si="26"/>
        <v>142.29999999999984</v>
      </c>
      <c r="C277" s="51">
        <f t="shared" si="24"/>
        <v>0.8</v>
      </c>
      <c r="D277" s="51">
        <f t="shared" si="25"/>
        <v>0</v>
      </c>
      <c r="F277">
        <f t="shared" si="27"/>
        <v>1</v>
      </c>
      <c r="G277">
        <f t="shared" si="28"/>
        <v>1</v>
      </c>
      <c r="I277">
        <f t="shared" si="29"/>
        <v>0</v>
      </c>
    </row>
    <row r="278" spans="1:9" x14ac:dyDescent="0.25">
      <c r="A278" s="51">
        <v>272</v>
      </c>
      <c r="B278" s="51">
        <f t="shared" si="26"/>
        <v>143.09999999999985</v>
      </c>
      <c r="C278" s="51">
        <f t="shared" si="24"/>
        <v>0.8</v>
      </c>
      <c r="D278" s="51">
        <f t="shared" si="25"/>
        <v>0</v>
      </c>
      <c r="F278">
        <f t="shared" si="27"/>
        <v>1</v>
      </c>
      <c r="G278">
        <f t="shared" si="28"/>
        <v>1</v>
      </c>
      <c r="I278">
        <f t="shared" si="29"/>
        <v>0</v>
      </c>
    </row>
    <row r="279" spans="1:9" x14ac:dyDescent="0.25">
      <c r="A279" s="51">
        <v>273</v>
      </c>
      <c r="B279" s="51">
        <f t="shared" si="26"/>
        <v>143.89999999999986</v>
      </c>
      <c r="C279" s="51">
        <f t="shared" si="24"/>
        <v>0.8</v>
      </c>
      <c r="D279" s="51">
        <f t="shared" si="25"/>
        <v>0</v>
      </c>
      <c r="F279">
        <f t="shared" si="27"/>
        <v>1</v>
      </c>
      <c r="G279">
        <f t="shared" si="28"/>
        <v>1</v>
      </c>
      <c r="I279">
        <f t="shared" si="29"/>
        <v>0</v>
      </c>
    </row>
    <row r="280" spans="1:9" x14ac:dyDescent="0.25">
      <c r="A280" s="51">
        <v>274</v>
      </c>
      <c r="B280" s="51">
        <f t="shared" si="26"/>
        <v>144.69999999999987</v>
      </c>
      <c r="C280" s="51">
        <f t="shared" si="24"/>
        <v>0.8</v>
      </c>
      <c r="D280" s="51">
        <f t="shared" si="25"/>
        <v>0</v>
      </c>
      <c r="F280">
        <f t="shared" si="27"/>
        <v>1</v>
      </c>
      <c r="G280">
        <f t="shared" si="28"/>
        <v>1</v>
      </c>
      <c r="I280">
        <f t="shared" si="29"/>
        <v>0</v>
      </c>
    </row>
    <row r="281" spans="1:9" x14ac:dyDescent="0.25">
      <c r="A281" s="51">
        <v>275</v>
      </c>
      <c r="B281" s="51">
        <f t="shared" si="26"/>
        <v>145.49999999999989</v>
      </c>
      <c r="C281" s="51">
        <f t="shared" si="24"/>
        <v>0.8</v>
      </c>
      <c r="D281" s="51">
        <f t="shared" si="25"/>
        <v>0</v>
      </c>
      <c r="F281">
        <f t="shared" si="27"/>
        <v>1</v>
      </c>
      <c r="G281">
        <f t="shared" si="28"/>
        <v>1</v>
      </c>
      <c r="I281">
        <f t="shared" si="29"/>
        <v>0</v>
      </c>
    </row>
    <row r="282" spans="1:9" x14ac:dyDescent="0.25">
      <c r="A282" s="51">
        <v>276</v>
      </c>
      <c r="B282" s="51">
        <f t="shared" si="26"/>
        <v>146.2999999999999</v>
      </c>
      <c r="C282" s="51">
        <f t="shared" si="24"/>
        <v>0.8</v>
      </c>
      <c r="D282" s="51">
        <f t="shared" si="25"/>
        <v>0</v>
      </c>
      <c r="F282">
        <f t="shared" si="27"/>
        <v>1</v>
      </c>
      <c r="G282">
        <f t="shared" si="28"/>
        <v>1</v>
      </c>
      <c r="I282">
        <f t="shared" si="29"/>
        <v>0</v>
      </c>
    </row>
    <row r="283" spans="1:9" x14ac:dyDescent="0.25">
      <c r="A283" s="51">
        <v>277</v>
      </c>
      <c r="B283" s="51">
        <f t="shared" si="26"/>
        <v>147.09999999999991</v>
      </c>
      <c r="C283" s="51">
        <f t="shared" si="24"/>
        <v>0.8</v>
      </c>
      <c r="D283" s="51">
        <f t="shared" si="25"/>
        <v>0</v>
      </c>
      <c r="F283">
        <f t="shared" si="27"/>
        <v>1</v>
      </c>
      <c r="G283">
        <f t="shared" si="28"/>
        <v>1</v>
      </c>
      <c r="I283">
        <f t="shared" si="29"/>
        <v>0</v>
      </c>
    </row>
    <row r="284" spans="1:9" x14ac:dyDescent="0.25">
      <c r="A284" s="51">
        <v>278</v>
      </c>
      <c r="B284" s="51">
        <f t="shared" si="26"/>
        <v>147.89999999999992</v>
      </c>
      <c r="C284" s="51">
        <f t="shared" si="24"/>
        <v>0.8</v>
      </c>
      <c r="D284" s="51">
        <f t="shared" si="25"/>
        <v>0</v>
      </c>
      <c r="F284">
        <f t="shared" si="27"/>
        <v>1</v>
      </c>
      <c r="G284">
        <f t="shared" si="28"/>
        <v>1</v>
      </c>
      <c r="I284">
        <f t="shared" si="29"/>
        <v>0</v>
      </c>
    </row>
    <row r="285" spans="1:9" x14ac:dyDescent="0.25">
      <c r="A285" s="51">
        <v>279</v>
      </c>
      <c r="B285" s="51">
        <f t="shared" si="26"/>
        <v>148.69999999999993</v>
      </c>
      <c r="C285" s="51">
        <f t="shared" si="24"/>
        <v>0.8</v>
      </c>
      <c r="D285" s="51">
        <f t="shared" si="25"/>
        <v>0</v>
      </c>
      <c r="F285">
        <f t="shared" si="27"/>
        <v>1</v>
      </c>
      <c r="G285">
        <f t="shared" si="28"/>
        <v>1</v>
      </c>
      <c r="I285">
        <f t="shared" si="29"/>
        <v>0</v>
      </c>
    </row>
    <row r="286" spans="1:9" x14ac:dyDescent="0.25">
      <c r="A286" s="51">
        <v>280</v>
      </c>
      <c r="B286" s="51">
        <f t="shared" si="26"/>
        <v>149.49999999999994</v>
      </c>
      <c r="C286" s="51">
        <f t="shared" si="24"/>
        <v>0.8</v>
      </c>
      <c r="D286" s="51">
        <f t="shared" si="25"/>
        <v>0</v>
      </c>
      <c r="F286">
        <f t="shared" si="27"/>
        <v>1</v>
      </c>
      <c r="G286">
        <f t="shared" si="28"/>
        <v>1</v>
      </c>
      <c r="I286">
        <f t="shared" si="29"/>
        <v>0</v>
      </c>
    </row>
    <row r="287" spans="1:9" x14ac:dyDescent="0.25">
      <c r="A287" s="51">
        <v>281</v>
      </c>
      <c r="B287" s="51">
        <f t="shared" si="26"/>
        <v>150.29999999999995</v>
      </c>
      <c r="C287" s="51">
        <f t="shared" si="24"/>
        <v>0.8</v>
      </c>
      <c r="D287" s="51">
        <f t="shared" si="25"/>
        <v>0</v>
      </c>
      <c r="F287">
        <f t="shared" si="27"/>
        <v>1</v>
      </c>
      <c r="G287">
        <f t="shared" si="28"/>
        <v>1</v>
      </c>
      <c r="I287">
        <f t="shared" si="29"/>
        <v>0</v>
      </c>
    </row>
    <row r="288" spans="1:9" x14ac:dyDescent="0.25">
      <c r="A288" s="51">
        <v>282</v>
      </c>
      <c r="B288" s="51">
        <f t="shared" si="26"/>
        <v>151.09999999999997</v>
      </c>
      <c r="C288" s="51">
        <f t="shared" si="24"/>
        <v>0.8</v>
      </c>
      <c r="D288" s="51">
        <f t="shared" si="25"/>
        <v>0</v>
      </c>
      <c r="F288">
        <f t="shared" si="27"/>
        <v>1</v>
      </c>
      <c r="G288">
        <f t="shared" si="28"/>
        <v>1</v>
      </c>
      <c r="I288">
        <f t="shared" si="29"/>
        <v>0</v>
      </c>
    </row>
    <row r="289" spans="1:9" x14ac:dyDescent="0.25">
      <c r="A289" s="51">
        <v>283</v>
      </c>
      <c r="B289" s="51">
        <f t="shared" si="26"/>
        <v>151.89999999999998</v>
      </c>
      <c r="C289" s="51">
        <f t="shared" si="24"/>
        <v>0.8</v>
      </c>
      <c r="D289" s="51">
        <f t="shared" si="25"/>
        <v>0</v>
      </c>
      <c r="F289">
        <f t="shared" si="27"/>
        <v>1</v>
      </c>
      <c r="G289">
        <f t="shared" si="28"/>
        <v>1</v>
      </c>
      <c r="I289">
        <f t="shared" si="29"/>
        <v>0</v>
      </c>
    </row>
    <row r="290" spans="1:9" x14ac:dyDescent="0.25">
      <c r="A290" s="51">
        <v>284</v>
      </c>
      <c r="B290" s="51">
        <f t="shared" si="26"/>
        <v>152.69999999999999</v>
      </c>
      <c r="C290" s="51">
        <f t="shared" si="24"/>
        <v>0.8</v>
      </c>
      <c r="D290" s="51">
        <f t="shared" si="25"/>
        <v>0</v>
      </c>
      <c r="F290">
        <f t="shared" si="27"/>
        <v>1</v>
      </c>
      <c r="G290">
        <f t="shared" si="28"/>
        <v>1</v>
      </c>
      <c r="I290">
        <f t="shared" si="29"/>
        <v>0</v>
      </c>
    </row>
    <row r="291" spans="1:9" x14ac:dyDescent="0.25">
      <c r="A291" s="51">
        <v>285</v>
      </c>
      <c r="B291" s="51">
        <f t="shared" si="26"/>
        <v>153.5</v>
      </c>
      <c r="C291" s="51">
        <f t="shared" si="24"/>
        <v>0.8</v>
      </c>
      <c r="D291" s="51">
        <f t="shared" si="25"/>
        <v>0</v>
      </c>
      <c r="F291">
        <f t="shared" si="27"/>
        <v>1</v>
      </c>
      <c r="G291">
        <f t="shared" si="28"/>
        <v>1</v>
      </c>
      <c r="I291">
        <f t="shared" si="29"/>
        <v>0</v>
      </c>
    </row>
    <row r="292" spans="1:9" x14ac:dyDescent="0.25">
      <c r="A292" s="51">
        <v>286</v>
      </c>
      <c r="B292" s="51">
        <f t="shared" si="26"/>
        <v>154.30000000000001</v>
      </c>
      <c r="C292" s="51">
        <f t="shared" si="24"/>
        <v>0.8</v>
      </c>
      <c r="D292" s="51">
        <f t="shared" si="25"/>
        <v>0</v>
      </c>
      <c r="F292">
        <f t="shared" si="27"/>
        <v>1</v>
      </c>
      <c r="G292">
        <f t="shared" si="28"/>
        <v>1</v>
      </c>
      <c r="I292">
        <f t="shared" si="29"/>
        <v>0</v>
      </c>
    </row>
    <row r="293" spans="1:9" x14ac:dyDescent="0.25">
      <c r="A293" s="51">
        <v>287</v>
      </c>
      <c r="B293" s="51">
        <f t="shared" si="26"/>
        <v>155.10000000000002</v>
      </c>
      <c r="C293" s="51">
        <f t="shared" si="24"/>
        <v>0.8</v>
      </c>
      <c r="D293" s="51">
        <f t="shared" si="25"/>
        <v>0</v>
      </c>
      <c r="F293">
        <f t="shared" si="27"/>
        <v>1</v>
      </c>
      <c r="G293">
        <f t="shared" si="28"/>
        <v>1</v>
      </c>
      <c r="I293">
        <f t="shared" si="29"/>
        <v>0</v>
      </c>
    </row>
    <row r="294" spans="1:9" x14ac:dyDescent="0.25">
      <c r="A294" s="51">
        <v>288</v>
      </c>
      <c r="B294" s="51">
        <f t="shared" si="26"/>
        <v>155.90000000000003</v>
      </c>
      <c r="C294" s="51">
        <f t="shared" si="24"/>
        <v>0.8</v>
      </c>
      <c r="D294" s="51">
        <f t="shared" si="25"/>
        <v>0</v>
      </c>
      <c r="F294">
        <f t="shared" si="27"/>
        <v>1</v>
      </c>
      <c r="G294">
        <f t="shared" si="28"/>
        <v>1</v>
      </c>
      <c r="I294">
        <f t="shared" si="29"/>
        <v>0</v>
      </c>
    </row>
    <row r="295" spans="1:9" x14ac:dyDescent="0.25">
      <c r="A295" s="51">
        <v>289</v>
      </c>
      <c r="B295" s="51">
        <f t="shared" si="26"/>
        <v>156.70000000000005</v>
      </c>
      <c r="C295" s="51">
        <f t="shared" si="24"/>
        <v>0.8</v>
      </c>
      <c r="D295" s="51">
        <f t="shared" si="25"/>
        <v>0</v>
      </c>
      <c r="F295">
        <f t="shared" si="27"/>
        <v>1</v>
      </c>
      <c r="G295">
        <f t="shared" si="28"/>
        <v>1</v>
      </c>
      <c r="I295">
        <f t="shared" si="29"/>
        <v>0</v>
      </c>
    </row>
    <row r="296" spans="1:9" x14ac:dyDescent="0.25">
      <c r="A296" s="51">
        <v>290</v>
      </c>
      <c r="B296" s="51">
        <f t="shared" si="26"/>
        <v>157.50000000000006</v>
      </c>
      <c r="C296" s="51">
        <f t="shared" si="24"/>
        <v>0.8</v>
      </c>
      <c r="D296" s="51">
        <f t="shared" si="25"/>
        <v>0</v>
      </c>
      <c r="F296">
        <f t="shared" si="27"/>
        <v>1</v>
      </c>
      <c r="G296">
        <f t="shared" si="28"/>
        <v>1</v>
      </c>
      <c r="I296">
        <f t="shared" si="29"/>
        <v>0</v>
      </c>
    </row>
    <row r="297" spans="1:9" x14ac:dyDescent="0.25">
      <c r="A297" s="51">
        <v>291</v>
      </c>
      <c r="B297" s="51">
        <f t="shared" si="26"/>
        <v>158.30000000000007</v>
      </c>
      <c r="C297" s="51">
        <f t="shared" si="24"/>
        <v>0.8</v>
      </c>
      <c r="D297" s="51">
        <f t="shared" si="25"/>
        <v>0</v>
      </c>
      <c r="F297">
        <f t="shared" si="27"/>
        <v>1</v>
      </c>
      <c r="G297">
        <f t="shared" si="28"/>
        <v>1</v>
      </c>
      <c r="I297">
        <f t="shared" si="29"/>
        <v>0</v>
      </c>
    </row>
    <row r="298" spans="1:9" x14ac:dyDescent="0.25">
      <c r="A298" s="51">
        <v>292</v>
      </c>
      <c r="B298" s="51">
        <f t="shared" si="26"/>
        <v>159.10000000000008</v>
      </c>
      <c r="C298" s="51">
        <f t="shared" si="24"/>
        <v>0.8</v>
      </c>
      <c r="D298" s="51">
        <f t="shared" si="25"/>
        <v>0</v>
      </c>
      <c r="F298">
        <f t="shared" si="27"/>
        <v>1</v>
      </c>
      <c r="G298">
        <f t="shared" si="28"/>
        <v>1</v>
      </c>
      <c r="I298">
        <f t="shared" si="29"/>
        <v>0</v>
      </c>
    </row>
    <row r="299" spans="1:9" x14ac:dyDescent="0.25">
      <c r="A299" s="51">
        <v>293</v>
      </c>
      <c r="B299" s="51">
        <f t="shared" si="26"/>
        <v>159.90000000000009</v>
      </c>
      <c r="C299" s="51">
        <f t="shared" si="24"/>
        <v>0.8</v>
      </c>
      <c r="D299" s="51">
        <f t="shared" si="25"/>
        <v>0</v>
      </c>
      <c r="F299">
        <f t="shared" si="27"/>
        <v>1</v>
      </c>
      <c r="G299">
        <f t="shared" si="28"/>
        <v>1</v>
      </c>
      <c r="I299">
        <f t="shared" si="29"/>
        <v>0</v>
      </c>
    </row>
    <row r="300" spans="1:9" x14ac:dyDescent="0.25">
      <c r="A300" s="51">
        <v>294</v>
      </c>
      <c r="B300" s="51">
        <f t="shared" si="26"/>
        <v>160.7000000000001</v>
      </c>
      <c r="C300" s="51">
        <f t="shared" si="24"/>
        <v>0.8</v>
      </c>
      <c r="D300" s="51">
        <f t="shared" si="25"/>
        <v>0</v>
      </c>
      <c r="F300">
        <f t="shared" si="27"/>
        <v>1</v>
      </c>
      <c r="G300">
        <f t="shared" si="28"/>
        <v>1</v>
      </c>
      <c r="I300">
        <f t="shared" si="29"/>
        <v>0</v>
      </c>
    </row>
    <row r="301" spans="1:9" x14ac:dyDescent="0.25">
      <c r="A301" s="51">
        <v>295</v>
      </c>
      <c r="B301" s="51">
        <f t="shared" si="26"/>
        <v>161.50000000000011</v>
      </c>
      <c r="C301" s="51">
        <f t="shared" si="24"/>
        <v>0.8</v>
      </c>
      <c r="D301" s="51">
        <f t="shared" si="25"/>
        <v>0</v>
      </c>
      <c r="F301">
        <f t="shared" si="27"/>
        <v>1</v>
      </c>
      <c r="G301">
        <f t="shared" si="28"/>
        <v>1</v>
      </c>
      <c r="I301">
        <f t="shared" si="29"/>
        <v>0</v>
      </c>
    </row>
    <row r="302" spans="1:9" x14ac:dyDescent="0.25">
      <c r="A302" s="51">
        <v>296</v>
      </c>
      <c r="B302" s="51">
        <f t="shared" si="26"/>
        <v>162.30000000000013</v>
      </c>
      <c r="C302" s="51">
        <f t="shared" si="24"/>
        <v>0.8</v>
      </c>
      <c r="D302" s="51">
        <f t="shared" si="25"/>
        <v>0</v>
      </c>
      <c r="F302">
        <f t="shared" si="27"/>
        <v>1</v>
      </c>
      <c r="G302">
        <f t="shared" si="28"/>
        <v>1</v>
      </c>
      <c r="I302">
        <f t="shared" si="29"/>
        <v>0</v>
      </c>
    </row>
    <row r="303" spans="1:9" x14ac:dyDescent="0.25">
      <c r="A303" s="51">
        <v>297</v>
      </c>
      <c r="B303" s="51">
        <f t="shared" si="26"/>
        <v>163.10000000000014</v>
      </c>
      <c r="C303" s="51">
        <f t="shared" si="24"/>
        <v>0.8</v>
      </c>
      <c r="D303" s="51">
        <f t="shared" si="25"/>
        <v>0</v>
      </c>
      <c r="F303">
        <f t="shared" si="27"/>
        <v>1</v>
      </c>
      <c r="G303">
        <f t="shared" si="28"/>
        <v>1</v>
      </c>
      <c r="I303">
        <f t="shared" si="29"/>
        <v>0</v>
      </c>
    </row>
    <row r="304" spans="1:9" x14ac:dyDescent="0.25">
      <c r="A304" s="51">
        <v>298</v>
      </c>
      <c r="B304" s="51">
        <f t="shared" si="26"/>
        <v>163.90000000000015</v>
      </c>
      <c r="C304" s="51">
        <f t="shared" si="24"/>
        <v>0.8</v>
      </c>
      <c r="D304" s="51">
        <f t="shared" si="25"/>
        <v>0</v>
      </c>
      <c r="F304">
        <f t="shared" si="27"/>
        <v>1</v>
      </c>
      <c r="G304">
        <f t="shared" si="28"/>
        <v>1</v>
      </c>
      <c r="I304">
        <f t="shared" si="29"/>
        <v>0</v>
      </c>
    </row>
    <row r="305" spans="1:9" x14ac:dyDescent="0.25">
      <c r="A305" s="51">
        <v>299</v>
      </c>
      <c r="B305" s="51">
        <f t="shared" si="26"/>
        <v>164.70000000000016</v>
      </c>
      <c r="C305" s="51">
        <f t="shared" si="24"/>
        <v>0.8</v>
      </c>
      <c r="D305" s="51">
        <f t="shared" si="25"/>
        <v>0</v>
      </c>
      <c r="F305">
        <f t="shared" si="27"/>
        <v>1</v>
      </c>
      <c r="G305">
        <f t="shared" si="28"/>
        <v>1</v>
      </c>
      <c r="I305">
        <f t="shared" si="29"/>
        <v>0</v>
      </c>
    </row>
    <row r="306" spans="1:9" x14ac:dyDescent="0.25">
      <c r="A306" s="51">
        <v>300</v>
      </c>
      <c r="B306" s="51">
        <f t="shared" si="26"/>
        <v>166.00000000000017</v>
      </c>
      <c r="C306" s="51">
        <f t="shared" si="24"/>
        <v>1.3</v>
      </c>
      <c r="D306" s="51">
        <f t="shared" si="25"/>
        <v>0</v>
      </c>
      <c r="F306">
        <f t="shared" si="27"/>
        <v>1</v>
      </c>
      <c r="G306">
        <v>2</v>
      </c>
      <c r="I306">
        <f t="shared" si="29"/>
        <v>0</v>
      </c>
    </row>
    <row r="307" spans="1:9" x14ac:dyDescent="0.25">
      <c r="A307" s="51">
        <v>301</v>
      </c>
      <c r="B307" s="51">
        <f t="shared" si="26"/>
        <v>167.30000000000018</v>
      </c>
      <c r="C307" s="51">
        <f t="shared" si="24"/>
        <v>1.3</v>
      </c>
      <c r="D307" s="51">
        <f t="shared" si="25"/>
        <v>0</v>
      </c>
      <c r="F307">
        <f t="shared" si="27"/>
        <v>1</v>
      </c>
      <c r="G307">
        <f t="shared" si="28"/>
        <v>2</v>
      </c>
      <c r="I307">
        <f t="shared" si="29"/>
        <v>0</v>
      </c>
    </row>
    <row r="308" spans="1:9" x14ac:dyDescent="0.25">
      <c r="A308" s="51">
        <v>302</v>
      </c>
      <c r="B308" s="51">
        <f t="shared" si="26"/>
        <v>168.60000000000019</v>
      </c>
      <c r="C308" s="51">
        <f t="shared" si="24"/>
        <v>1.3</v>
      </c>
      <c r="D308" s="51">
        <f t="shared" si="25"/>
        <v>0</v>
      </c>
      <c r="F308">
        <f t="shared" si="27"/>
        <v>1</v>
      </c>
      <c r="G308">
        <f t="shared" si="28"/>
        <v>2</v>
      </c>
      <c r="I308">
        <f t="shared" si="29"/>
        <v>0</v>
      </c>
    </row>
    <row r="309" spans="1:9" x14ac:dyDescent="0.25">
      <c r="A309" s="51">
        <v>303</v>
      </c>
      <c r="B309" s="51">
        <f t="shared" si="26"/>
        <v>169.9000000000002</v>
      </c>
      <c r="C309" s="51">
        <f t="shared" si="24"/>
        <v>1.3</v>
      </c>
      <c r="D309" s="51">
        <f t="shared" si="25"/>
        <v>0</v>
      </c>
      <c r="F309">
        <f t="shared" si="27"/>
        <v>1</v>
      </c>
      <c r="G309">
        <f t="shared" si="28"/>
        <v>2</v>
      </c>
      <c r="I309">
        <f t="shared" si="29"/>
        <v>0</v>
      </c>
    </row>
    <row r="310" spans="1:9" x14ac:dyDescent="0.25">
      <c r="A310" s="51">
        <v>304</v>
      </c>
      <c r="B310" s="51">
        <f t="shared" si="26"/>
        <v>171.20000000000022</v>
      </c>
      <c r="C310" s="51">
        <f t="shared" si="24"/>
        <v>1.3</v>
      </c>
      <c r="D310" s="51">
        <f t="shared" si="25"/>
        <v>0</v>
      </c>
      <c r="F310">
        <f t="shared" si="27"/>
        <v>1</v>
      </c>
      <c r="G310">
        <f t="shared" si="28"/>
        <v>2</v>
      </c>
      <c r="I310">
        <f t="shared" si="29"/>
        <v>0</v>
      </c>
    </row>
    <row r="311" spans="1:9" x14ac:dyDescent="0.25">
      <c r="A311" s="51">
        <v>305</v>
      </c>
      <c r="B311" s="51">
        <f t="shared" si="26"/>
        <v>172.50000000000023</v>
      </c>
      <c r="C311" s="51">
        <f t="shared" si="24"/>
        <v>1.3</v>
      </c>
      <c r="D311" s="51">
        <f t="shared" si="25"/>
        <v>0</v>
      </c>
      <c r="F311">
        <f t="shared" si="27"/>
        <v>1</v>
      </c>
      <c r="G311">
        <f t="shared" si="28"/>
        <v>2</v>
      </c>
      <c r="I311">
        <f t="shared" si="29"/>
        <v>0</v>
      </c>
    </row>
    <row r="312" spans="1:9" x14ac:dyDescent="0.25">
      <c r="A312" s="51">
        <v>306</v>
      </c>
      <c r="B312" s="51">
        <f t="shared" si="26"/>
        <v>173.80000000000024</v>
      </c>
      <c r="C312" s="51">
        <f t="shared" si="24"/>
        <v>1.3</v>
      </c>
      <c r="D312" s="51">
        <f t="shared" si="25"/>
        <v>0</v>
      </c>
      <c r="F312">
        <f t="shared" si="27"/>
        <v>1</v>
      </c>
      <c r="G312">
        <f t="shared" si="28"/>
        <v>2</v>
      </c>
      <c r="I312">
        <f t="shared" si="29"/>
        <v>0</v>
      </c>
    </row>
    <row r="313" spans="1:9" x14ac:dyDescent="0.25">
      <c r="A313" s="51">
        <v>307</v>
      </c>
      <c r="B313" s="51">
        <f t="shared" si="26"/>
        <v>175.10000000000025</v>
      </c>
      <c r="C313" s="51">
        <f t="shared" si="24"/>
        <v>1.3</v>
      </c>
      <c r="D313" s="51">
        <f t="shared" si="25"/>
        <v>0</v>
      </c>
      <c r="F313">
        <f t="shared" si="27"/>
        <v>1</v>
      </c>
      <c r="G313">
        <f t="shared" si="28"/>
        <v>2</v>
      </c>
      <c r="I313">
        <f t="shared" si="29"/>
        <v>0</v>
      </c>
    </row>
    <row r="314" spans="1:9" x14ac:dyDescent="0.25">
      <c r="A314" s="51">
        <v>308</v>
      </c>
      <c r="B314" s="51">
        <f t="shared" si="26"/>
        <v>176.40000000000026</v>
      </c>
      <c r="C314" s="51">
        <f t="shared" si="24"/>
        <v>1.3</v>
      </c>
      <c r="D314" s="51">
        <f t="shared" si="25"/>
        <v>0</v>
      </c>
      <c r="F314">
        <f t="shared" si="27"/>
        <v>1</v>
      </c>
      <c r="G314">
        <f t="shared" si="28"/>
        <v>2</v>
      </c>
      <c r="I314">
        <f t="shared" si="29"/>
        <v>0</v>
      </c>
    </row>
    <row r="315" spans="1:9" x14ac:dyDescent="0.25">
      <c r="A315" s="51">
        <v>309</v>
      </c>
      <c r="B315" s="51">
        <f t="shared" si="26"/>
        <v>177.70000000000027</v>
      </c>
      <c r="C315" s="51">
        <f t="shared" si="24"/>
        <v>1.3</v>
      </c>
      <c r="D315" s="51">
        <f t="shared" si="25"/>
        <v>0</v>
      </c>
      <c r="F315">
        <f t="shared" si="27"/>
        <v>1</v>
      </c>
      <c r="G315">
        <f t="shared" si="28"/>
        <v>2</v>
      </c>
      <c r="I315">
        <f t="shared" si="29"/>
        <v>0</v>
      </c>
    </row>
    <row r="316" spans="1:9" x14ac:dyDescent="0.25">
      <c r="A316" s="51">
        <v>310</v>
      </c>
      <c r="B316" s="51">
        <f t="shared" si="26"/>
        <v>179.00000000000028</v>
      </c>
      <c r="C316" s="51">
        <f t="shared" si="24"/>
        <v>1.3</v>
      </c>
      <c r="D316" s="51">
        <f t="shared" si="25"/>
        <v>0</v>
      </c>
      <c r="F316">
        <f t="shared" si="27"/>
        <v>1</v>
      </c>
      <c r="G316">
        <f t="shared" si="28"/>
        <v>2</v>
      </c>
      <c r="I316">
        <f t="shared" si="29"/>
        <v>0</v>
      </c>
    </row>
    <row r="317" spans="1:9" x14ac:dyDescent="0.25">
      <c r="A317" s="51">
        <v>311</v>
      </c>
      <c r="B317" s="51">
        <f t="shared" si="26"/>
        <v>180.3000000000003</v>
      </c>
      <c r="C317" s="51">
        <f t="shared" si="24"/>
        <v>1.3</v>
      </c>
      <c r="D317" s="51">
        <f t="shared" si="25"/>
        <v>0</v>
      </c>
      <c r="F317">
        <f t="shared" si="27"/>
        <v>1</v>
      </c>
      <c r="G317">
        <f t="shared" si="28"/>
        <v>2</v>
      </c>
      <c r="I317">
        <f t="shared" si="29"/>
        <v>0</v>
      </c>
    </row>
    <row r="318" spans="1:9" x14ac:dyDescent="0.25">
      <c r="A318" s="51">
        <v>312</v>
      </c>
      <c r="B318" s="51">
        <f t="shared" si="26"/>
        <v>181.60000000000031</v>
      </c>
      <c r="C318" s="51">
        <f t="shared" si="24"/>
        <v>1.3</v>
      </c>
      <c r="D318" s="51">
        <f t="shared" si="25"/>
        <v>0</v>
      </c>
      <c r="F318">
        <f t="shared" si="27"/>
        <v>1</v>
      </c>
      <c r="G318">
        <f t="shared" si="28"/>
        <v>2</v>
      </c>
      <c r="I318">
        <f t="shared" si="29"/>
        <v>0</v>
      </c>
    </row>
    <row r="319" spans="1:9" x14ac:dyDescent="0.25">
      <c r="A319" s="51">
        <v>313</v>
      </c>
      <c r="B319" s="51">
        <f t="shared" si="26"/>
        <v>182.90000000000032</v>
      </c>
      <c r="C319" s="51">
        <f t="shared" si="24"/>
        <v>1.3</v>
      </c>
      <c r="D319" s="51">
        <f t="shared" si="25"/>
        <v>0</v>
      </c>
      <c r="F319">
        <f t="shared" si="27"/>
        <v>1</v>
      </c>
      <c r="G319">
        <f t="shared" si="28"/>
        <v>2</v>
      </c>
      <c r="I319">
        <f t="shared" si="29"/>
        <v>0</v>
      </c>
    </row>
    <row r="320" spans="1:9" x14ac:dyDescent="0.25">
      <c r="A320" s="51">
        <v>314</v>
      </c>
      <c r="B320" s="51">
        <f t="shared" si="26"/>
        <v>184.20000000000033</v>
      </c>
      <c r="C320" s="51">
        <f t="shared" si="24"/>
        <v>1.3</v>
      </c>
      <c r="D320" s="51">
        <f t="shared" si="25"/>
        <v>0</v>
      </c>
      <c r="F320">
        <f t="shared" si="27"/>
        <v>1</v>
      </c>
      <c r="G320">
        <f t="shared" si="28"/>
        <v>2</v>
      </c>
      <c r="I320">
        <f t="shared" si="29"/>
        <v>0</v>
      </c>
    </row>
    <row r="321" spans="1:9" x14ac:dyDescent="0.25">
      <c r="A321" s="51">
        <v>315</v>
      </c>
      <c r="B321" s="51">
        <f t="shared" si="26"/>
        <v>185.50000000000034</v>
      </c>
      <c r="C321" s="51">
        <f t="shared" si="24"/>
        <v>1.3</v>
      </c>
      <c r="D321" s="51">
        <f t="shared" si="25"/>
        <v>0</v>
      </c>
      <c r="F321">
        <f t="shared" si="27"/>
        <v>1</v>
      </c>
      <c r="G321">
        <f t="shared" si="28"/>
        <v>2</v>
      </c>
      <c r="I321">
        <f t="shared" si="29"/>
        <v>0</v>
      </c>
    </row>
    <row r="322" spans="1:9" x14ac:dyDescent="0.25">
      <c r="A322" s="51">
        <v>316</v>
      </c>
      <c r="B322" s="51">
        <f t="shared" si="26"/>
        <v>186.80000000000035</v>
      </c>
      <c r="C322" s="51">
        <f t="shared" si="24"/>
        <v>1.3</v>
      </c>
      <c r="D322" s="51">
        <f t="shared" si="25"/>
        <v>0</v>
      </c>
      <c r="F322">
        <f t="shared" si="27"/>
        <v>1</v>
      </c>
      <c r="G322">
        <f t="shared" si="28"/>
        <v>2</v>
      </c>
      <c r="I322">
        <f t="shared" si="29"/>
        <v>0</v>
      </c>
    </row>
    <row r="323" spans="1:9" x14ac:dyDescent="0.25">
      <c r="A323" s="51">
        <v>317</v>
      </c>
      <c r="B323" s="51">
        <f t="shared" si="26"/>
        <v>188.10000000000036</v>
      </c>
      <c r="C323" s="51">
        <f t="shared" si="24"/>
        <v>1.3</v>
      </c>
      <c r="D323" s="51">
        <f t="shared" si="25"/>
        <v>0</v>
      </c>
      <c r="F323">
        <f t="shared" si="27"/>
        <v>1</v>
      </c>
      <c r="G323">
        <f t="shared" si="28"/>
        <v>2</v>
      </c>
      <c r="I323">
        <f t="shared" si="29"/>
        <v>0</v>
      </c>
    </row>
    <row r="324" spans="1:9" x14ac:dyDescent="0.25">
      <c r="A324" s="51">
        <v>318</v>
      </c>
      <c r="B324" s="51">
        <f t="shared" si="26"/>
        <v>189.40000000000038</v>
      </c>
      <c r="C324" s="51">
        <f t="shared" si="24"/>
        <v>1.3</v>
      </c>
      <c r="D324" s="51">
        <f t="shared" si="25"/>
        <v>0</v>
      </c>
      <c r="F324">
        <f t="shared" si="27"/>
        <v>1</v>
      </c>
      <c r="G324">
        <f t="shared" si="28"/>
        <v>2</v>
      </c>
      <c r="I324">
        <f t="shared" si="29"/>
        <v>0</v>
      </c>
    </row>
    <row r="325" spans="1:9" x14ac:dyDescent="0.25">
      <c r="A325" s="51">
        <v>319</v>
      </c>
      <c r="B325" s="51">
        <f t="shared" si="26"/>
        <v>190.70000000000039</v>
      </c>
      <c r="C325" s="51">
        <f t="shared" si="24"/>
        <v>1.3</v>
      </c>
      <c r="D325" s="51">
        <f t="shared" si="25"/>
        <v>0</v>
      </c>
      <c r="F325">
        <f t="shared" si="27"/>
        <v>1</v>
      </c>
      <c r="G325">
        <f t="shared" si="28"/>
        <v>2</v>
      </c>
      <c r="I325">
        <f t="shared" si="29"/>
        <v>0</v>
      </c>
    </row>
    <row r="326" spans="1:9" x14ac:dyDescent="0.25">
      <c r="A326" s="51">
        <v>320</v>
      </c>
      <c r="B326" s="51">
        <f t="shared" si="26"/>
        <v>192.0000000000004</v>
      </c>
      <c r="C326" s="51">
        <f t="shared" si="24"/>
        <v>1.3</v>
      </c>
      <c r="D326" s="51">
        <f t="shared" si="25"/>
        <v>0</v>
      </c>
      <c r="F326">
        <f t="shared" si="27"/>
        <v>1</v>
      </c>
      <c r="G326">
        <f t="shared" si="28"/>
        <v>2</v>
      </c>
      <c r="I326">
        <f t="shared" si="29"/>
        <v>0</v>
      </c>
    </row>
    <row r="327" spans="1:9" x14ac:dyDescent="0.25">
      <c r="A327" s="51">
        <v>321</v>
      </c>
      <c r="B327" s="51">
        <f t="shared" si="26"/>
        <v>193.30000000000041</v>
      </c>
      <c r="C327" s="51">
        <f t="shared" si="24"/>
        <v>1.3</v>
      </c>
      <c r="D327" s="51">
        <f t="shared" si="25"/>
        <v>0</v>
      </c>
      <c r="F327">
        <f t="shared" si="27"/>
        <v>1</v>
      </c>
      <c r="G327">
        <f t="shared" si="28"/>
        <v>2</v>
      </c>
      <c r="I327">
        <f t="shared" si="29"/>
        <v>0</v>
      </c>
    </row>
    <row r="328" spans="1:9" x14ac:dyDescent="0.25">
      <c r="A328" s="51">
        <v>322</v>
      </c>
      <c r="B328" s="51">
        <f t="shared" si="26"/>
        <v>194.60000000000042</v>
      </c>
      <c r="C328" s="51">
        <f t="shared" ref="C328:C366" si="30">F328*$G$3+G328*$G$4</f>
        <v>1.3</v>
      </c>
      <c r="D328" s="51">
        <f t="shared" ref="D328:D366" si="31">I328*$J$3</f>
        <v>0</v>
      </c>
      <c r="F328">
        <f t="shared" si="27"/>
        <v>1</v>
      </c>
      <c r="G328">
        <f t="shared" si="28"/>
        <v>2</v>
      </c>
      <c r="I328">
        <f t="shared" si="29"/>
        <v>0</v>
      </c>
    </row>
    <row r="329" spans="1:9" x14ac:dyDescent="0.25">
      <c r="A329" s="51">
        <v>323</v>
      </c>
      <c r="B329" s="51">
        <f t="shared" si="26"/>
        <v>195.90000000000043</v>
      </c>
      <c r="C329" s="51">
        <f t="shared" si="30"/>
        <v>1.3</v>
      </c>
      <c r="D329" s="51">
        <f t="shared" si="31"/>
        <v>0</v>
      </c>
      <c r="F329">
        <f t="shared" si="27"/>
        <v>1</v>
      </c>
      <c r="G329">
        <f t="shared" si="28"/>
        <v>2</v>
      </c>
      <c r="I329">
        <f t="shared" si="29"/>
        <v>0</v>
      </c>
    </row>
    <row r="330" spans="1:9" x14ac:dyDescent="0.25">
      <c r="A330" s="51">
        <v>324</v>
      </c>
      <c r="B330" s="51">
        <f t="shared" ref="B330:B352" si="32">B329+C330-D330</f>
        <v>197.20000000000044</v>
      </c>
      <c r="C330" s="51">
        <f t="shared" si="30"/>
        <v>1.3</v>
      </c>
      <c r="D330" s="51">
        <f t="shared" si="31"/>
        <v>0</v>
      </c>
      <c r="F330">
        <f t="shared" ref="F330:F352" si="33">F329</f>
        <v>1</v>
      </c>
      <c r="G330">
        <f t="shared" ref="G330:G352" si="34">G329</f>
        <v>2</v>
      </c>
      <c r="I330">
        <f t="shared" ref="I330:I352" si="35">I329</f>
        <v>0</v>
      </c>
    </row>
    <row r="331" spans="1:9" x14ac:dyDescent="0.25">
      <c r="A331" s="51">
        <v>325</v>
      </c>
      <c r="B331" s="51">
        <f t="shared" si="32"/>
        <v>198.50000000000045</v>
      </c>
      <c r="C331" s="51">
        <f t="shared" si="30"/>
        <v>1.3</v>
      </c>
      <c r="D331" s="51">
        <f t="shared" si="31"/>
        <v>0</v>
      </c>
      <c r="F331">
        <f t="shared" si="33"/>
        <v>1</v>
      </c>
      <c r="G331">
        <f t="shared" si="34"/>
        <v>2</v>
      </c>
      <c r="I331">
        <f t="shared" si="35"/>
        <v>0</v>
      </c>
    </row>
    <row r="332" spans="1:9" x14ac:dyDescent="0.25">
      <c r="A332" s="51">
        <v>326</v>
      </c>
      <c r="B332" s="51">
        <f t="shared" si="32"/>
        <v>199.80000000000047</v>
      </c>
      <c r="C332" s="51">
        <f t="shared" si="30"/>
        <v>1.3</v>
      </c>
      <c r="D332" s="51">
        <f t="shared" si="31"/>
        <v>0</v>
      </c>
      <c r="F332">
        <f t="shared" si="33"/>
        <v>1</v>
      </c>
      <c r="G332">
        <f t="shared" si="34"/>
        <v>2</v>
      </c>
      <c r="I332">
        <f t="shared" si="35"/>
        <v>0</v>
      </c>
    </row>
    <row r="333" spans="1:9" x14ac:dyDescent="0.25">
      <c r="A333" s="51">
        <v>327</v>
      </c>
      <c r="B333" s="51">
        <f t="shared" si="32"/>
        <v>201.10000000000048</v>
      </c>
      <c r="C333" s="51">
        <f t="shared" si="30"/>
        <v>1.3</v>
      </c>
      <c r="D333" s="51">
        <f t="shared" si="31"/>
        <v>0</v>
      </c>
      <c r="F333">
        <f t="shared" si="33"/>
        <v>1</v>
      </c>
      <c r="G333">
        <f t="shared" si="34"/>
        <v>2</v>
      </c>
      <c r="I333">
        <f t="shared" si="35"/>
        <v>0</v>
      </c>
    </row>
    <row r="334" spans="1:9" x14ac:dyDescent="0.25">
      <c r="A334" s="51">
        <v>328</v>
      </c>
      <c r="B334" s="51">
        <f t="shared" si="32"/>
        <v>202.40000000000049</v>
      </c>
      <c r="C334" s="51">
        <f t="shared" si="30"/>
        <v>1.3</v>
      </c>
      <c r="D334" s="51">
        <f t="shared" si="31"/>
        <v>0</v>
      </c>
      <c r="F334">
        <f t="shared" si="33"/>
        <v>1</v>
      </c>
      <c r="G334">
        <f t="shared" si="34"/>
        <v>2</v>
      </c>
      <c r="I334">
        <f t="shared" si="35"/>
        <v>0</v>
      </c>
    </row>
    <row r="335" spans="1:9" x14ac:dyDescent="0.25">
      <c r="A335" s="51">
        <v>329</v>
      </c>
      <c r="B335" s="51">
        <f t="shared" si="32"/>
        <v>203.7000000000005</v>
      </c>
      <c r="C335" s="51">
        <f t="shared" si="30"/>
        <v>1.3</v>
      </c>
      <c r="D335" s="51">
        <f t="shared" si="31"/>
        <v>0</v>
      </c>
      <c r="F335">
        <f t="shared" si="33"/>
        <v>1</v>
      </c>
      <c r="G335">
        <f t="shared" si="34"/>
        <v>2</v>
      </c>
      <c r="I335">
        <f t="shared" si="35"/>
        <v>0</v>
      </c>
    </row>
    <row r="336" spans="1:9" x14ac:dyDescent="0.25">
      <c r="A336" s="51">
        <v>330</v>
      </c>
      <c r="B336" s="51">
        <f t="shared" si="32"/>
        <v>205.00000000000051</v>
      </c>
      <c r="C336" s="51">
        <f t="shared" si="30"/>
        <v>1.3</v>
      </c>
      <c r="D336" s="51">
        <f t="shared" si="31"/>
        <v>0</v>
      </c>
      <c r="F336">
        <f t="shared" si="33"/>
        <v>1</v>
      </c>
      <c r="G336">
        <f t="shared" si="34"/>
        <v>2</v>
      </c>
      <c r="I336">
        <f t="shared" si="35"/>
        <v>0</v>
      </c>
    </row>
    <row r="337" spans="1:9" x14ac:dyDescent="0.25">
      <c r="A337" s="51">
        <v>331</v>
      </c>
      <c r="B337" s="51">
        <f t="shared" si="32"/>
        <v>206.30000000000052</v>
      </c>
      <c r="C337" s="51">
        <f t="shared" si="30"/>
        <v>1.3</v>
      </c>
      <c r="D337" s="51">
        <f t="shared" si="31"/>
        <v>0</v>
      </c>
      <c r="F337">
        <f t="shared" si="33"/>
        <v>1</v>
      </c>
      <c r="G337">
        <f t="shared" si="34"/>
        <v>2</v>
      </c>
      <c r="I337">
        <f t="shared" si="35"/>
        <v>0</v>
      </c>
    </row>
    <row r="338" spans="1:9" x14ac:dyDescent="0.25">
      <c r="A338" s="51">
        <v>332</v>
      </c>
      <c r="B338" s="51">
        <f t="shared" si="32"/>
        <v>207.60000000000053</v>
      </c>
      <c r="C338" s="51">
        <f t="shared" si="30"/>
        <v>1.3</v>
      </c>
      <c r="D338" s="51">
        <f t="shared" si="31"/>
        <v>0</v>
      </c>
      <c r="F338">
        <f t="shared" si="33"/>
        <v>1</v>
      </c>
      <c r="G338">
        <f t="shared" si="34"/>
        <v>2</v>
      </c>
      <c r="I338">
        <f t="shared" si="35"/>
        <v>0</v>
      </c>
    </row>
    <row r="339" spans="1:9" x14ac:dyDescent="0.25">
      <c r="A339" s="51">
        <v>333</v>
      </c>
      <c r="B339" s="51">
        <f t="shared" si="32"/>
        <v>208.90000000000055</v>
      </c>
      <c r="C339" s="51">
        <f t="shared" si="30"/>
        <v>1.3</v>
      </c>
      <c r="D339" s="51">
        <f t="shared" si="31"/>
        <v>0</v>
      </c>
      <c r="F339">
        <f t="shared" si="33"/>
        <v>1</v>
      </c>
      <c r="G339">
        <f t="shared" si="34"/>
        <v>2</v>
      </c>
      <c r="I339">
        <f t="shared" si="35"/>
        <v>0</v>
      </c>
    </row>
    <row r="340" spans="1:9" x14ac:dyDescent="0.25">
      <c r="A340" s="51">
        <v>334</v>
      </c>
      <c r="B340" s="51">
        <f t="shared" si="32"/>
        <v>210.20000000000056</v>
      </c>
      <c r="C340" s="51">
        <f t="shared" si="30"/>
        <v>1.3</v>
      </c>
      <c r="D340" s="51">
        <f t="shared" si="31"/>
        <v>0</v>
      </c>
      <c r="F340">
        <f t="shared" si="33"/>
        <v>1</v>
      </c>
      <c r="G340">
        <f t="shared" si="34"/>
        <v>2</v>
      </c>
      <c r="I340">
        <f t="shared" si="35"/>
        <v>0</v>
      </c>
    </row>
    <row r="341" spans="1:9" x14ac:dyDescent="0.25">
      <c r="A341" s="51">
        <v>335</v>
      </c>
      <c r="B341" s="51">
        <f t="shared" si="32"/>
        <v>211.50000000000057</v>
      </c>
      <c r="C341" s="51">
        <f t="shared" si="30"/>
        <v>1.3</v>
      </c>
      <c r="D341" s="51">
        <f t="shared" si="31"/>
        <v>0</v>
      </c>
      <c r="F341">
        <f t="shared" si="33"/>
        <v>1</v>
      </c>
      <c r="G341">
        <f t="shared" si="34"/>
        <v>2</v>
      </c>
      <c r="I341">
        <f t="shared" si="35"/>
        <v>0</v>
      </c>
    </row>
    <row r="342" spans="1:9" x14ac:dyDescent="0.25">
      <c r="A342" s="51">
        <v>336</v>
      </c>
      <c r="B342" s="51">
        <f t="shared" si="32"/>
        <v>212.80000000000058</v>
      </c>
      <c r="C342" s="51">
        <f t="shared" si="30"/>
        <v>1.3</v>
      </c>
      <c r="D342" s="51">
        <f t="shared" si="31"/>
        <v>0</v>
      </c>
      <c r="F342">
        <f t="shared" si="33"/>
        <v>1</v>
      </c>
      <c r="G342">
        <f t="shared" si="34"/>
        <v>2</v>
      </c>
      <c r="I342">
        <f t="shared" si="35"/>
        <v>0</v>
      </c>
    </row>
    <row r="343" spans="1:9" x14ac:dyDescent="0.25">
      <c r="A343" s="51">
        <v>337</v>
      </c>
      <c r="B343" s="51">
        <f t="shared" si="32"/>
        <v>214.10000000000059</v>
      </c>
      <c r="C343" s="51">
        <f t="shared" si="30"/>
        <v>1.3</v>
      </c>
      <c r="D343" s="51">
        <f t="shared" si="31"/>
        <v>0</v>
      </c>
      <c r="F343">
        <f t="shared" si="33"/>
        <v>1</v>
      </c>
      <c r="G343">
        <f t="shared" si="34"/>
        <v>2</v>
      </c>
      <c r="I343">
        <f t="shared" si="35"/>
        <v>0</v>
      </c>
    </row>
    <row r="344" spans="1:9" x14ac:dyDescent="0.25">
      <c r="A344" s="51">
        <v>338</v>
      </c>
      <c r="B344" s="51">
        <f t="shared" si="32"/>
        <v>215.4000000000006</v>
      </c>
      <c r="C344" s="51">
        <f t="shared" si="30"/>
        <v>1.3</v>
      </c>
      <c r="D344" s="51">
        <f t="shared" si="31"/>
        <v>0</v>
      </c>
      <c r="F344">
        <f t="shared" si="33"/>
        <v>1</v>
      </c>
      <c r="G344">
        <f t="shared" si="34"/>
        <v>2</v>
      </c>
      <c r="I344">
        <f t="shared" si="35"/>
        <v>0</v>
      </c>
    </row>
    <row r="345" spans="1:9" x14ac:dyDescent="0.25">
      <c r="A345" s="51">
        <v>339</v>
      </c>
      <c r="B345" s="51">
        <f t="shared" si="32"/>
        <v>216.70000000000061</v>
      </c>
      <c r="C345" s="51">
        <f t="shared" si="30"/>
        <v>1.3</v>
      </c>
      <c r="D345" s="51">
        <f t="shared" si="31"/>
        <v>0</v>
      </c>
      <c r="F345">
        <f t="shared" si="33"/>
        <v>1</v>
      </c>
      <c r="G345">
        <f t="shared" si="34"/>
        <v>2</v>
      </c>
      <c r="I345">
        <f t="shared" si="35"/>
        <v>0</v>
      </c>
    </row>
    <row r="346" spans="1:9" x14ac:dyDescent="0.25">
      <c r="A346" s="51">
        <v>340</v>
      </c>
      <c r="B346" s="51">
        <f t="shared" si="32"/>
        <v>218.00000000000063</v>
      </c>
      <c r="C346" s="51">
        <f t="shared" si="30"/>
        <v>1.3</v>
      </c>
      <c r="D346" s="51">
        <f t="shared" si="31"/>
        <v>0</v>
      </c>
      <c r="F346">
        <f t="shared" si="33"/>
        <v>1</v>
      </c>
      <c r="G346">
        <f t="shared" si="34"/>
        <v>2</v>
      </c>
      <c r="I346">
        <f t="shared" si="35"/>
        <v>0</v>
      </c>
    </row>
    <row r="347" spans="1:9" x14ac:dyDescent="0.25">
      <c r="A347" s="51">
        <v>341</v>
      </c>
      <c r="B347" s="51">
        <f t="shared" si="32"/>
        <v>219.30000000000064</v>
      </c>
      <c r="C347" s="51">
        <f t="shared" si="30"/>
        <v>1.3</v>
      </c>
      <c r="D347" s="51">
        <f t="shared" si="31"/>
        <v>0</v>
      </c>
      <c r="F347">
        <f t="shared" si="33"/>
        <v>1</v>
      </c>
      <c r="G347">
        <f t="shared" si="34"/>
        <v>2</v>
      </c>
      <c r="I347">
        <f t="shared" si="35"/>
        <v>0</v>
      </c>
    </row>
    <row r="348" spans="1:9" x14ac:dyDescent="0.25">
      <c r="A348" s="51">
        <v>342</v>
      </c>
      <c r="B348" s="51">
        <f t="shared" si="32"/>
        <v>220.60000000000065</v>
      </c>
      <c r="C348" s="51">
        <f t="shared" si="30"/>
        <v>1.3</v>
      </c>
      <c r="D348" s="51">
        <f t="shared" si="31"/>
        <v>0</v>
      </c>
      <c r="F348">
        <f t="shared" si="33"/>
        <v>1</v>
      </c>
      <c r="G348">
        <f t="shared" si="34"/>
        <v>2</v>
      </c>
      <c r="I348">
        <f t="shared" si="35"/>
        <v>0</v>
      </c>
    </row>
    <row r="349" spans="1:9" x14ac:dyDescent="0.25">
      <c r="A349" s="51">
        <v>343</v>
      </c>
      <c r="B349" s="51">
        <f t="shared" si="32"/>
        <v>221.90000000000066</v>
      </c>
      <c r="C349" s="51">
        <f t="shared" si="30"/>
        <v>1.3</v>
      </c>
      <c r="D349" s="51">
        <f t="shared" si="31"/>
        <v>0</v>
      </c>
      <c r="F349">
        <f t="shared" si="33"/>
        <v>1</v>
      </c>
      <c r="G349">
        <f t="shared" si="34"/>
        <v>2</v>
      </c>
      <c r="I349">
        <f t="shared" si="35"/>
        <v>0</v>
      </c>
    </row>
    <row r="350" spans="1:9" x14ac:dyDescent="0.25">
      <c r="A350" s="51">
        <v>344</v>
      </c>
      <c r="B350" s="51">
        <f t="shared" si="32"/>
        <v>223.20000000000067</v>
      </c>
      <c r="C350" s="51">
        <f t="shared" si="30"/>
        <v>1.3</v>
      </c>
      <c r="D350" s="51">
        <f t="shared" si="31"/>
        <v>0</v>
      </c>
      <c r="F350">
        <f t="shared" si="33"/>
        <v>1</v>
      </c>
      <c r="G350">
        <f t="shared" si="34"/>
        <v>2</v>
      </c>
      <c r="I350">
        <f t="shared" si="35"/>
        <v>0</v>
      </c>
    </row>
    <row r="351" spans="1:9" x14ac:dyDescent="0.25">
      <c r="A351" s="51">
        <v>345</v>
      </c>
      <c r="B351" s="51">
        <f t="shared" si="32"/>
        <v>224.50000000000068</v>
      </c>
      <c r="C351" s="51">
        <f t="shared" si="30"/>
        <v>1.3</v>
      </c>
      <c r="D351" s="51">
        <f t="shared" si="31"/>
        <v>0</v>
      </c>
      <c r="F351">
        <f t="shared" si="33"/>
        <v>1</v>
      </c>
      <c r="G351">
        <f t="shared" si="34"/>
        <v>2</v>
      </c>
      <c r="I351">
        <f t="shared" si="35"/>
        <v>0</v>
      </c>
    </row>
    <row r="352" spans="1:9" x14ac:dyDescent="0.25">
      <c r="A352" s="51">
        <v>346</v>
      </c>
      <c r="B352" s="51">
        <f t="shared" si="32"/>
        <v>225.80000000000069</v>
      </c>
      <c r="C352" s="51">
        <f t="shared" si="30"/>
        <v>1.3</v>
      </c>
      <c r="D352" s="51">
        <f t="shared" si="31"/>
        <v>0</v>
      </c>
      <c r="F352">
        <f t="shared" si="33"/>
        <v>1</v>
      </c>
      <c r="G352">
        <f t="shared" si="34"/>
        <v>2</v>
      </c>
      <c r="I352">
        <f t="shared" si="35"/>
        <v>0</v>
      </c>
    </row>
    <row r="353" spans="1:9" x14ac:dyDescent="0.25">
      <c r="A353" s="51">
        <v>347</v>
      </c>
      <c r="B353" s="51">
        <f>B352+C353-D353</f>
        <v>227.1000000000007</v>
      </c>
      <c r="C353" s="51">
        <f t="shared" si="30"/>
        <v>1.3</v>
      </c>
      <c r="D353" s="51">
        <f t="shared" si="31"/>
        <v>0</v>
      </c>
      <c r="F353">
        <f>F352</f>
        <v>1</v>
      </c>
      <c r="G353">
        <f>G352</f>
        <v>2</v>
      </c>
      <c r="I353">
        <f>I352</f>
        <v>0</v>
      </c>
    </row>
    <row r="354" spans="1:9" x14ac:dyDescent="0.25">
      <c r="A354" s="51">
        <v>348</v>
      </c>
      <c r="B354" s="51">
        <f>B353+C354-D354</f>
        <v>228.40000000000072</v>
      </c>
      <c r="C354" s="51">
        <f t="shared" si="30"/>
        <v>1.3</v>
      </c>
      <c r="D354" s="51">
        <f t="shared" si="31"/>
        <v>0</v>
      </c>
      <c r="F354">
        <f>F353</f>
        <v>1</v>
      </c>
      <c r="G354">
        <f>G353</f>
        <v>2</v>
      </c>
      <c r="I354">
        <f>I353</f>
        <v>0</v>
      </c>
    </row>
    <row r="355" spans="1:9" x14ac:dyDescent="0.25">
      <c r="A355" s="51">
        <v>349</v>
      </c>
      <c r="B355" s="51">
        <f t="shared" ref="B355:B366" si="36">B354+C355-D355</f>
        <v>229.70000000000073</v>
      </c>
      <c r="C355" s="51">
        <f t="shared" si="30"/>
        <v>1.3</v>
      </c>
      <c r="D355" s="51">
        <f t="shared" si="31"/>
        <v>0</v>
      </c>
      <c r="F355">
        <f t="shared" ref="F355:F366" si="37">F354</f>
        <v>1</v>
      </c>
      <c r="G355">
        <f t="shared" ref="G355:G366" si="38">G354</f>
        <v>2</v>
      </c>
      <c r="I355">
        <f t="shared" ref="I355:I366" si="39">I354</f>
        <v>0</v>
      </c>
    </row>
    <row r="356" spans="1:9" x14ac:dyDescent="0.25">
      <c r="A356" s="51">
        <v>350</v>
      </c>
      <c r="B356" s="51">
        <f t="shared" si="36"/>
        <v>231.00000000000074</v>
      </c>
      <c r="C356" s="51">
        <f t="shared" si="30"/>
        <v>1.3</v>
      </c>
      <c r="D356" s="51">
        <f t="shared" si="31"/>
        <v>0</v>
      </c>
      <c r="F356">
        <f t="shared" si="37"/>
        <v>1</v>
      </c>
      <c r="G356">
        <f t="shared" si="38"/>
        <v>2</v>
      </c>
      <c r="I356">
        <f t="shared" si="39"/>
        <v>0</v>
      </c>
    </row>
    <row r="357" spans="1:9" x14ac:dyDescent="0.25">
      <c r="A357" s="51">
        <v>351</v>
      </c>
      <c r="B357" s="51">
        <f t="shared" si="36"/>
        <v>232.30000000000075</v>
      </c>
      <c r="C357" s="51">
        <f t="shared" si="30"/>
        <v>1.3</v>
      </c>
      <c r="D357" s="51">
        <f t="shared" si="31"/>
        <v>0</v>
      </c>
      <c r="F357">
        <f t="shared" si="37"/>
        <v>1</v>
      </c>
      <c r="G357">
        <f t="shared" si="38"/>
        <v>2</v>
      </c>
      <c r="I357">
        <f t="shared" si="39"/>
        <v>0</v>
      </c>
    </row>
    <row r="358" spans="1:9" x14ac:dyDescent="0.25">
      <c r="A358" s="51">
        <v>352</v>
      </c>
      <c r="B358" s="51">
        <f t="shared" si="36"/>
        <v>233.60000000000076</v>
      </c>
      <c r="C358" s="51">
        <f t="shared" si="30"/>
        <v>1.3</v>
      </c>
      <c r="D358" s="51">
        <f t="shared" si="31"/>
        <v>0</v>
      </c>
      <c r="F358">
        <f t="shared" si="37"/>
        <v>1</v>
      </c>
      <c r="G358">
        <f t="shared" si="38"/>
        <v>2</v>
      </c>
      <c r="I358">
        <f t="shared" si="39"/>
        <v>0</v>
      </c>
    </row>
    <row r="359" spans="1:9" x14ac:dyDescent="0.25">
      <c r="A359" s="51">
        <v>353</v>
      </c>
      <c r="B359" s="51">
        <f t="shared" si="36"/>
        <v>234.90000000000077</v>
      </c>
      <c r="C359" s="51">
        <f t="shared" si="30"/>
        <v>1.3</v>
      </c>
      <c r="D359" s="51">
        <f t="shared" si="31"/>
        <v>0</v>
      </c>
      <c r="F359">
        <f t="shared" si="37"/>
        <v>1</v>
      </c>
      <c r="G359">
        <f t="shared" si="38"/>
        <v>2</v>
      </c>
      <c r="I359">
        <f t="shared" si="39"/>
        <v>0</v>
      </c>
    </row>
    <row r="360" spans="1:9" x14ac:dyDescent="0.25">
      <c r="A360" s="51">
        <v>354</v>
      </c>
      <c r="B360" s="51">
        <f t="shared" si="36"/>
        <v>236.20000000000078</v>
      </c>
      <c r="C360" s="51">
        <f t="shared" si="30"/>
        <v>1.3</v>
      </c>
      <c r="D360" s="51">
        <f t="shared" si="31"/>
        <v>0</v>
      </c>
      <c r="F360">
        <f t="shared" si="37"/>
        <v>1</v>
      </c>
      <c r="G360">
        <f t="shared" si="38"/>
        <v>2</v>
      </c>
      <c r="I360">
        <f t="shared" si="39"/>
        <v>0</v>
      </c>
    </row>
    <row r="361" spans="1:9" x14ac:dyDescent="0.25">
      <c r="A361" s="51">
        <v>355</v>
      </c>
      <c r="B361" s="51">
        <f t="shared" si="36"/>
        <v>237.5000000000008</v>
      </c>
      <c r="C361" s="51">
        <f t="shared" si="30"/>
        <v>1.3</v>
      </c>
      <c r="D361" s="51">
        <f t="shared" si="31"/>
        <v>0</v>
      </c>
      <c r="F361">
        <f t="shared" si="37"/>
        <v>1</v>
      </c>
      <c r="G361">
        <f t="shared" si="38"/>
        <v>2</v>
      </c>
      <c r="I361">
        <f t="shared" si="39"/>
        <v>0</v>
      </c>
    </row>
    <row r="362" spans="1:9" x14ac:dyDescent="0.25">
      <c r="A362" s="51">
        <v>356</v>
      </c>
      <c r="B362" s="51">
        <f t="shared" si="36"/>
        <v>238.80000000000081</v>
      </c>
      <c r="C362" s="51">
        <f t="shared" si="30"/>
        <v>1.3</v>
      </c>
      <c r="D362" s="51">
        <f t="shared" si="31"/>
        <v>0</v>
      </c>
      <c r="F362">
        <f t="shared" si="37"/>
        <v>1</v>
      </c>
      <c r="G362">
        <f t="shared" si="38"/>
        <v>2</v>
      </c>
      <c r="I362">
        <f t="shared" si="39"/>
        <v>0</v>
      </c>
    </row>
    <row r="363" spans="1:9" x14ac:dyDescent="0.25">
      <c r="A363" s="51">
        <v>357</v>
      </c>
      <c r="B363" s="51">
        <f t="shared" si="36"/>
        <v>240.10000000000082</v>
      </c>
      <c r="C363" s="51">
        <f t="shared" si="30"/>
        <v>1.3</v>
      </c>
      <c r="D363" s="51">
        <f t="shared" si="31"/>
        <v>0</v>
      </c>
      <c r="F363">
        <f t="shared" si="37"/>
        <v>1</v>
      </c>
      <c r="G363">
        <f t="shared" si="38"/>
        <v>2</v>
      </c>
      <c r="I363">
        <f t="shared" si="39"/>
        <v>0</v>
      </c>
    </row>
    <row r="364" spans="1:9" x14ac:dyDescent="0.25">
      <c r="A364" s="51">
        <v>358</v>
      </c>
      <c r="B364" s="51">
        <f t="shared" si="36"/>
        <v>241.40000000000083</v>
      </c>
      <c r="C364" s="51">
        <f t="shared" si="30"/>
        <v>1.3</v>
      </c>
      <c r="D364" s="51">
        <f t="shared" si="31"/>
        <v>0</v>
      </c>
      <c r="F364">
        <f t="shared" si="37"/>
        <v>1</v>
      </c>
      <c r="G364">
        <f t="shared" si="38"/>
        <v>2</v>
      </c>
      <c r="I364">
        <f t="shared" si="39"/>
        <v>0</v>
      </c>
    </row>
    <row r="365" spans="1:9" x14ac:dyDescent="0.25">
      <c r="A365" s="51">
        <v>359</v>
      </c>
      <c r="B365" s="51">
        <f t="shared" si="36"/>
        <v>242.70000000000084</v>
      </c>
      <c r="C365" s="51">
        <f t="shared" si="30"/>
        <v>1.3</v>
      </c>
      <c r="D365" s="51">
        <f t="shared" si="31"/>
        <v>0</v>
      </c>
      <c r="F365">
        <f t="shared" si="37"/>
        <v>1</v>
      </c>
      <c r="G365">
        <f t="shared" si="38"/>
        <v>2</v>
      </c>
      <c r="I365">
        <f t="shared" si="39"/>
        <v>0</v>
      </c>
    </row>
    <row r="366" spans="1:9" x14ac:dyDescent="0.25">
      <c r="A366" s="51">
        <v>360</v>
      </c>
      <c r="B366" s="51">
        <f t="shared" si="36"/>
        <v>244.00000000000085</v>
      </c>
      <c r="C366" s="51">
        <f t="shared" si="30"/>
        <v>1.3</v>
      </c>
      <c r="D366" s="51">
        <f t="shared" si="31"/>
        <v>0</v>
      </c>
      <c r="F366">
        <f t="shared" si="37"/>
        <v>1</v>
      </c>
      <c r="G366">
        <f t="shared" si="38"/>
        <v>2</v>
      </c>
      <c r="I366">
        <f t="shared" si="39"/>
        <v>0</v>
      </c>
    </row>
    <row r="367" spans="1:9" s="127" customFormat="1" x14ac:dyDescent="0.25">
      <c r="A367" s="239"/>
      <c r="B367" s="239"/>
      <c r="C367" s="239"/>
      <c r="D367" s="239"/>
    </row>
  </sheetData>
  <mergeCells count="2">
    <mergeCell ref="F2:G2"/>
    <mergeCell ref="I2:J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7766-DFDA-4C0E-8F03-895D26D1386A}">
  <sheetPr codeName="Лист4"/>
  <dimension ref="A1:H113"/>
  <sheetViews>
    <sheetView workbookViewId="0">
      <selection activeCell="E15" sqref="E15"/>
    </sheetView>
  </sheetViews>
  <sheetFormatPr defaultRowHeight="15" x14ac:dyDescent="0.25"/>
  <cols>
    <col min="1" max="1" width="4.42578125" bestFit="1" customWidth="1"/>
    <col min="2" max="2" width="16" style="45" bestFit="1" customWidth="1"/>
    <col min="3" max="3" width="14" customWidth="1"/>
    <col min="4" max="4" width="19.140625" customWidth="1"/>
    <col min="5" max="5" width="14" bestFit="1" customWidth="1"/>
    <col min="6" max="6" width="12.85546875" bestFit="1" customWidth="1"/>
    <col min="7" max="7" width="11.28515625" customWidth="1"/>
  </cols>
  <sheetData>
    <row r="1" spans="1:8" x14ac:dyDescent="0.25">
      <c r="A1" s="41">
        <v>1</v>
      </c>
      <c r="B1" s="135">
        <f ca="1">IF(A1&gt;0,D1*$E$1,"")</f>
        <v>1326485.593483215</v>
      </c>
      <c r="C1" s="121">
        <v>0.5960003137588501</v>
      </c>
      <c r="D1" s="122">
        <f ca="1">IF(A1&gt;0,C1/SUM($C$1:$C$100),"")</f>
        <v>7.8222413266571908E-2</v>
      </c>
      <c r="E1" s="69">
        <v>16957871</v>
      </c>
      <c r="F1" s="133">
        <f>E1/COUNT(A:A)*(1-COUNT(A:A)/(COUNT(A:A)*2.5*(1-COUNT(A:A)*0.01)))</f>
        <v>770812.31818181812</v>
      </c>
      <c r="G1" s="132">
        <f>1-COUNT(A:A)/60</f>
        <v>0.8</v>
      </c>
      <c r="H1" t="s">
        <v>101</v>
      </c>
    </row>
    <row r="2" spans="1:8" x14ac:dyDescent="0.25">
      <c r="A2" s="41">
        <v>2</v>
      </c>
      <c r="B2" s="135">
        <f t="shared" ref="B2:B65" ca="1" si="0">IF(A2&gt;0,D2*$E$1,"")</f>
        <v>1602275.2029220257</v>
      </c>
      <c r="C2" s="121">
        <v>0.71991473436355591</v>
      </c>
      <c r="D2" s="122">
        <f t="shared" ref="D2:D65" ca="1" si="1">IF(A2&gt;0,C2/SUM($C$1:$C$100),"")</f>
        <v>9.448563460130259E-2</v>
      </c>
      <c r="E2" s="38">
        <f ca="1">SUM(B:B)</f>
        <v>16957871</v>
      </c>
      <c r="F2" s="38">
        <f>E1/COUNT(A:A)</f>
        <v>1413155.9166666667</v>
      </c>
      <c r="G2" s="38">
        <f>F2*G1</f>
        <v>1130524.7333333334</v>
      </c>
      <c r="H2">
        <v>134</v>
      </c>
    </row>
    <row r="3" spans="1:8" x14ac:dyDescent="0.25">
      <c r="A3" s="41">
        <v>3</v>
      </c>
      <c r="B3" s="135">
        <f ca="1">IF(A3&gt;0,D3*$E$1,"")</f>
        <v>1967468.9023246074</v>
      </c>
      <c r="C3" s="121">
        <v>0.88399910926818848</v>
      </c>
      <c r="D3" s="122">
        <f t="shared" ca="1" si="1"/>
        <v>0.11602098531853482</v>
      </c>
      <c r="E3" s="38">
        <f ca="1">E1-E2</f>
        <v>0</v>
      </c>
      <c r="G3" s="128">
        <f>1-COUNT(A:A)/(COUNT(A:A)*2.5*(1-COUNT(A:A)*0.01))</f>
        <v>0.54545454545454541</v>
      </c>
    </row>
    <row r="4" spans="1:8" x14ac:dyDescent="0.25">
      <c r="A4" s="41">
        <v>4</v>
      </c>
      <c r="B4" s="135">
        <f t="shared" ca="1" si="0"/>
        <v>1049977.5038366057</v>
      </c>
      <c r="C4" s="121">
        <v>0.47176307439804077</v>
      </c>
      <c r="D4" s="122">
        <f t="shared" ca="1" si="1"/>
        <v>6.191682339349118E-2</v>
      </c>
    </row>
    <row r="5" spans="1:8" x14ac:dyDescent="0.25">
      <c r="A5" s="41">
        <v>5</v>
      </c>
      <c r="B5" s="135">
        <f t="shared" ca="1" si="0"/>
        <v>903433.94055229391</v>
      </c>
      <c r="C5" s="121">
        <v>0.40591990947723389</v>
      </c>
      <c r="D5" s="122">
        <f t="shared" ca="1" si="1"/>
        <v>5.3275198316598465E-2</v>
      </c>
      <c r="E5" s="130">
        <f ca="1">SUM(D1:D100)</f>
        <v>1</v>
      </c>
      <c r="F5" s="38">
        <f ca="1">MIN(B:B)</f>
        <v>850219.31129156274</v>
      </c>
      <c r="G5" s="38">
        <v>584236.87086952745</v>
      </c>
    </row>
    <row r="6" spans="1:8" x14ac:dyDescent="0.25">
      <c r="A6" s="41">
        <v>6</v>
      </c>
      <c r="B6" s="135">
        <f t="shared" ca="1" si="0"/>
        <v>1554843.3045952215</v>
      </c>
      <c r="C6" s="121">
        <v>0.69860321283340454</v>
      </c>
      <c r="D6" s="122">
        <f ca="1">IF(A6&gt;0,C6/SUM($C$1:$C$100),"")</f>
        <v>9.1688591368292729E-2</v>
      </c>
      <c r="F6" s="38">
        <f ca="1">MAX(B:B)</f>
        <v>2164645.0234581674</v>
      </c>
    </row>
    <row r="7" spans="1:8" x14ac:dyDescent="0.25">
      <c r="A7" s="41">
        <v>7</v>
      </c>
      <c r="B7" s="135">
        <f t="shared" ca="1" si="0"/>
        <v>2164645.0234581674</v>
      </c>
      <c r="C7" s="121">
        <v>0.97259187698364258</v>
      </c>
      <c r="D7" s="122">
        <f t="shared" ca="1" si="1"/>
        <v>0.12764839545354292</v>
      </c>
      <c r="E7" s="128"/>
    </row>
    <row r="8" spans="1:8" x14ac:dyDescent="0.25">
      <c r="A8" s="41">
        <v>8</v>
      </c>
      <c r="B8" s="135">
        <f t="shared" ref="B8" ca="1" si="2">IF(A8&gt;0,D8*$E$1,"")</f>
        <v>850219.31129156274</v>
      </c>
      <c r="C8" s="121">
        <v>0.38201016187667847</v>
      </c>
      <c r="D8" s="122">
        <f t="shared" ref="D8" ca="1" si="3">IF(A8&gt;0,C8/SUM($C$1:$C$100),"")</f>
        <v>5.0137149368075909E-2</v>
      </c>
    </row>
    <row r="9" spans="1:8" x14ac:dyDescent="0.25">
      <c r="A9" s="41">
        <v>9</v>
      </c>
      <c r="B9" s="135">
        <f t="shared" ref="B9" ca="1" si="4">IF(A9&gt;0,D9*$E$1,"")</f>
        <v>883809.45493559132</v>
      </c>
      <c r="C9" s="121">
        <v>0.3971024751663208</v>
      </c>
      <c r="D9" s="122">
        <f t="shared" ref="D9" ca="1" si="5">IF(A9&gt;0,C9/SUM($C$1:$C$100),"")</f>
        <v>5.2117948941561784E-2</v>
      </c>
    </row>
    <row r="10" spans="1:8" x14ac:dyDescent="0.25">
      <c r="A10" s="41">
        <v>10</v>
      </c>
      <c r="B10" s="135">
        <f t="shared" ref="B10:B12" ca="1" si="6">IF(A10&gt;0,D10*$E$1,"")</f>
        <v>1801179.6032555858</v>
      </c>
      <c r="C10" s="121">
        <v>0.8092840313911438</v>
      </c>
      <c r="D10" s="122">
        <f t="shared" ref="D10:D12" ca="1" si="7">IF(A10&gt;0,C10/SUM($C$1:$C$100),"")</f>
        <v>0.10621496078461652</v>
      </c>
    </row>
    <row r="11" spans="1:8" x14ac:dyDescent="0.25">
      <c r="A11" s="41">
        <v>11</v>
      </c>
      <c r="B11" s="135">
        <f t="shared" ca="1" si="6"/>
        <v>1419659.0513613857</v>
      </c>
      <c r="C11" s="121">
        <v>0.6378638744354248</v>
      </c>
      <c r="D11" s="122">
        <f t="shared" ca="1" si="7"/>
        <v>8.3716821018474885E-2</v>
      </c>
      <c r="H11" s="115"/>
    </row>
    <row r="12" spans="1:8" x14ac:dyDescent="0.25">
      <c r="A12" s="41">
        <v>12</v>
      </c>
      <c r="B12" s="135">
        <f t="shared" ca="1" si="6"/>
        <v>1433874.1079837377</v>
      </c>
      <c r="C12" s="121">
        <v>0.64425081014633179</v>
      </c>
      <c r="D12" s="122">
        <f t="shared" ca="1" si="7"/>
        <v>8.4555078168936287E-2</v>
      </c>
      <c r="H12" s="115"/>
    </row>
    <row r="13" spans="1:8" x14ac:dyDescent="0.25">
      <c r="A13" s="41"/>
      <c r="B13" s="135"/>
      <c r="C13" s="121"/>
      <c r="D13" s="122"/>
      <c r="G13" s="134"/>
      <c r="H13" s="115"/>
    </row>
    <row r="14" spans="1:8" x14ac:dyDescent="0.25">
      <c r="A14" s="41"/>
      <c r="B14" s="135"/>
      <c r="C14" s="121"/>
      <c r="D14" s="122"/>
      <c r="H14" s="115"/>
    </row>
    <row r="15" spans="1:8" x14ac:dyDescent="0.25">
      <c r="A15" s="41"/>
      <c r="B15" s="135"/>
      <c r="C15" s="121"/>
      <c r="D15" s="122"/>
      <c r="H15" s="115"/>
    </row>
    <row r="16" spans="1:8" x14ac:dyDescent="0.25">
      <c r="A16" s="41"/>
      <c r="B16" s="135"/>
      <c r="C16" s="121"/>
      <c r="D16" s="122"/>
      <c r="H16" s="115"/>
    </row>
    <row r="17" spans="1:8" x14ac:dyDescent="0.25">
      <c r="A17" s="41"/>
      <c r="B17" s="135"/>
      <c r="C17" s="121"/>
      <c r="D17" s="122"/>
      <c r="H17" s="115"/>
    </row>
    <row r="18" spans="1:8" x14ac:dyDescent="0.25">
      <c r="A18" s="41"/>
      <c r="B18" s="135"/>
      <c r="C18" s="121"/>
      <c r="D18" s="122"/>
      <c r="H18" s="115"/>
    </row>
    <row r="19" spans="1:8" x14ac:dyDescent="0.25">
      <c r="A19" s="41"/>
      <c r="B19" s="135"/>
      <c r="C19" s="121"/>
      <c r="D19" s="122"/>
      <c r="H19" s="115"/>
    </row>
    <row r="20" spans="1:8" x14ac:dyDescent="0.25">
      <c r="A20" s="41"/>
      <c r="B20" s="135"/>
      <c r="C20" s="121"/>
      <c r="D20" s="122"/>
      <c r="H20" s="115"/>
    </row>
    <row r="21" spans="1:8" x14ac:dyDescent="0.25">
      <c r="A21" s="41"/>
      <c r="B21" s="135"/>
      <c r="C21" s="121"/>
      <c r="D21" s="122"/>
      <c r="H21" s="115"/>
    </row>
    <row r="22" spans="1:8" x14ac:dyDescent="0.25">
      <c r="A22" s="41"/>
      <c r="B22" s="135"/>
      <c r="C22" s="121"/>
      <c r="D22" s="122"/>
      <c r="H22" s="115"/>
    </row>
    <row r="23" spans="1:8" x14ac:dyDescent="0.25">
      <c r="A23" s="41"/>
      <c r="B23" s="135"/>
      <c r="C23" s="121"/>
      <c r="D23" s="122"/>
    </row>
    <row r="24" spans="1:8" x14ac:dyDescent="0.25">
      <c r="A24" s="41"/>
      <c r="B24" s="135"/>
      <c r="C24" s="121"/>
      <c r="D24" s="122"/>
    </row>
    <row r="25" spans="1:8" x14ac:dyDescent="0.25">
      <c r="A25" s="41"/>
      <c r="B25" s="135"/>
      <c r="C25" s="121"/>
      <c r="D25" s="122"/>
    </row>
    <row r="26" spans="1:8" x14ac:dyDescent="0.25">
      <c r="A26" s="41"/>
      <c r="B26" s="135"/>
      <c r="C26" s="121"/>
      <c r="D26" s="122"/>
    </row>
    <row r="27" spans="1:8" x14ac:dyDescent="0.25">
      <c r="A27" s="41"/>
      <c r="B27" s="135"/>
      <c r="C27" s="121"/>
      <c r="D27" s="122"/>
    </row>
    <row r="28" spans="1:8" x14ac:dyDescent="0.25">
      <c r="A28" s="41"/>
      <c r="B28" s="135"/>
      <c r="C28" s="121"/>
      <c r="D28" s="122"/>
    </row>
    <row r="29" spans="1:8" x14ac:dyDescent="0.25">
      <c r="A29" s="41"/>
      <c r="B29" s="135"/>
      <c r="C29" s="121"/>
      <c r="D29" s="122"/>
    </row>
    <row r="30" spans="1:8" x14ac:dyDescent="0.25">
      <c r="A30" s="41"/>
      <c r="B30" s="135"/>
      <c r="C30" s="121"/>
      <c r="D30" s="122"/>
    </row>
    <row r="31" spans="1:8" x14ac:dyDescent="0.25">
      <c r="A31" s="41"/>
      <c r="B31" s="135"/>
      <c r="C31" s="121"/>
      <c r="D31" s="122"/>
    </row>
    <row r="32" spans="1:8" x14ac:dyDescent="0.25">
      <c r="A32" s="41"/>
      <c r="B32" s="135"/>
      <c r="C32" s="121"/>
      <c r="D32" s="122"/>
    </row>
    <row r="33" spans="1:4" x14ac:dyDescent="0.25">
      <c r="A33" s="41"/>
      <c r="B33" s="135"/>
      <c r="C33" s="121"/>
      <c r="D33" s="122"/>
    </row>
    <row r="34" spans="1:4" x14ac:dyDescent="0.25">
      <c r="A34" s="41"/>
      <c r="B34" s="135"/>
      <c r="C34" s="121"/>
      <c r="D34" s="122"/>
    </row>
    <row r="35" spans="1:4" x14ac:dyDescent="0.25">
      <c r="A35" s="41"/>
      <c r="B35" s="135"/>
      <c r="C35" s="121"/>
      <c r="D35" s="122"/>
    </row>
    <row r="36" spans="1:4" x14ac:dyDescent="0.25">
      <c r="A36" s="41"/>
      <c r="B36" s="135"/>
      <c r="C36" s="121"/>
      <c r="D36" s="122"/>
    </row>
    <row r="37" spans="1:4" x14ac:dyDescent="0.25">
      <c r="A37" s="41"/>
      <c r="B37" s="135"/>
      <c r="C37" s="121"/>
      <c r="D37" s="122"/>
    </row>
    <row r="38" spans="1:4" x14ac:dyDescent="0.25">
      <c r="A38" s="41"/>
      <c r="B38" s="135"/>
      <c r="C38" s="121"/>
      <c r="D38" s="122"/>
    </row>
    <row r="39" spans="1:4" x14ac:dyDescent="0.25">
      <c r="A39" s="41"/>
      <c r="B39" s="135"/>
      <c r="C39" s="121"/>
      <c r="D39" s="122"/>
    </row>
    <row r="40" spans="1:4" x14ac:dyDescent="0.25">
      <c r="A40" s="41"/>
      <c r="B40" s="135"/>
      <c r="C40" s="121"/>
      <c r="D40" s="122"/>
    </row>
    <row r="41" spans="1:4" x14ac:dyDescent="0.25">
      <c r="A41" s="41"/>
      <c r="B41" s="135"/>
      <c r="C41" s="121"/>
      <c r="D41" s="122"/>
    </row>
    <row r="42" spans="1:4" x14ac:dyDescent="0.25">
      <c r="A42" s="41"/>
      <c r="B42" s="131" t="str">
        <f t="shared" si="0"/>
        <v/>
      </c>
      <c r="C42" s="121" t="str">
        <f t="shared" ref="C42:C65" ca="1" si="8">IF(A42&gt;0,RAND(),"")</f>
        <v/>
      </c>
      <c r="D42" s="122" t="str">
        <f t="shared" si="1"/>
        <v/>
      </c>
    </row>
    <row r="43" spans="1:4" x14ac:dyDescent="0.25">
      <c r="A43" s="41"/>
      <c r="B43" s="131" t="str">
        <f t="shared" si="0"/>
        <v/>
      </c>
      <c r="C43" s="121" t="str">
        <f t="shared" ca="1" si="8"/>
        <v/>
      </c>
      <c r="D43" s="122" t="str">
        <f t="shared" si="1"/>
        <v/>
      </c>
    </row>
    <row r="44" spans="1:4" x14ac:dyDescent="0.25">
      <c r="A44" s="41"/>
      <c r="B44" s="131" t="str">
        <f t="shared" si="0"/>
        <v/>
      </c>
      <c r="C44" s="121" t="str">
        <f t="shared" ca="1" si="8"/>
        <v/>
      </c>
      <c r="D44" s="122" t="str">
        <f t="shared" si="1"/>
        <v/>
      </c>
    </row>
    <row r="45" spans="1:4" x14ac:dyDescent="0.25">
      <c r="A45" s="41"/>
      <c r="B45" s="131" t="str">
        <f t="shared" si="0"/>
        <v/>
      </c>
      <c r="C45" s="121" t="str">
        <f t="shared" ca="1" si="8"/>
        <v/>
      </c>
      <c r="D45" s="122" t="str">
        <f t="shared" si="1"/>
        <v/>
      </c>
    </row>
    <row r="46" spans="1:4" x14ac:dyDescent="0.25">
      <c r="A46" s="41"/>
      <c r="B46" s="131" t="str">
        <f t="shared" si="0"/>
        <v/>
      </c>
      <c r="C46" s="121" t="str">
        <f t="shared" ca="1" si="8"/>
        <v/>
      </c>
      <c r="D46" s="122" t="str">
        <f t="shared" si="1"/>
        <v/>
      </c>
    </row>
    <row r="47" spans="1:4" x14ac:dyDescent="0.25">
      <c r="A47" s="41"/>
      <c r="B47" s="131" t="str">
        <f t="shared" si="0"/>
        <v/>
      </c>
      <c r="C47" s="121" t="str">
        <f t="shared" ca="1" si="8"/>
        <v/>
      </c>
      <c r="D47" s="122" t="str">
        <f t="shared" si="1"/>
        <v/>
      </c>
    </row>
    <row r="48" spans="1:4" x14ac:dyDescent="0.25">
      <c r="A48" s="41"/>
      <c r="B48" s="131" t="str">
        <f t="shared" si="0"/>
        <v/>
      </c>
      <c r="C48" s="121" t="str">
        <f t="shared" ca="1" si="8"/>
        <v/>
      </c>
      <c r="D48" s="122" t="str">
        <f t="shared" si="1"/>
        <v/>
      </c>
    </row>
    <row r="49" spans="1:4" x14ac:dyDescent="0.25">
      <c r="A49" s="41"/>
      <c r="B49" s="131" t="str">
        <f t="shared" si="0"/>
        <v/>
      </c>
      <c r="C49" s="121" t="str">
        <f t="shared" ca="1" si="8"/>
        <v/>
      </c>
      <c r="D49" s="122" t="str">
        <f t="shared" si="1"/>
        <v/>
      </c>
    </row>
    <row r="50" spans="1:4" x14ac:dyDescent="0.25">
      <c r="A50" s="41"/>
      <c r="B50" s="131" t="str">
        <f t="shared" si="0"/>
        <v/>
      </c>
      <c r="C50" s="121" t="str">
        <f t="shared" ca="1" si="8"/>
        <v/>
      </c>
      <c r="D50" s="122" t="str">
        <f t="shared" si="1"/>
        <v/>
      </c>
    </row>
    <row r="51" spans="1:4" x14ac:dyDescent="0.25">
      <c r="A51" s="41"/>
      <c r="B51" s="131" t="str">
        <f t="shared" si="0"/>
        <v/>
      </c>
      <c r="C51" s="121" t="str">
        <f t="shared" ca="1" si="8"/>
        <v/>
      </c>
      <c r="D51" s="122" t="str">
        <f t="shared" si="1"/>
        <v/>
      </c>
    </row>
    <row r="52" spans="1:4" x14ac:dyDescent="0.25">
      <c r="A52" s="41"/>
      <c r="B52" s="131" t="str">
        <f t="shared" si="0"/>
        <v/>
      </c>
      <c r="C52" s="121" t="str">
        <f t="shared" ca="1" si="8"/>
        <v/>
      </c>
      <c r="D52" s="122" t="str">
        <f t="shared" si="1"/>
        <v/>
      </c>
    </row>
    <row r="53" spans="1:4" x14ac:dyDescent="0.25">
      <c r="A53" s="41"/>
      <c r="B53" s="131" t="str">
        <f t="shared" si="0"/>
        <v/>
      </c>
      <c r="C53" s="121" t="str">
        <f t="shared" ca="1" si="8"/>
        <v/>
      </c>
      <c r="D53" s="122" t="str">
        <f t="shared" si="1"/>
        <v/>
      </c>
    </row>
    <row r="54" spans="1:4" x14ac:dyDescent="0.25">
      <c r="A54" s="41"/>
      <c r="B54" s="131" t="str">
        <f t="shared" si="0"/>
        <v/>
      </c>
      <c r="C54" s="121" t="str">
        <f t="shared" ca="1" si="8"/>
        <v/>
      </c>
      <c r="D54" s="122" t="str">
        <f t="shared" si="1"/>
        <v/>
      </c>
    </row>
    <row r="55" spans="1:4" x14ac:dyDescent="0.25">
      <c r="A55" s="41"/>
      <c r="B55" s="131" t="str">
        <f t="shared" si="0"/>
        <v/>
      </c>
      <c r="C55" s="121" t="str">
        <f t="shared" ca="1" si="8"/>
        <v/>
      </c>
      <c r="D55" s="122" t="str">
        <f t="shared" si="1"/>
        <v/>
      </c>
    </row>
    <row r="56" spans="1:4" x14ac:dyDescent="0.25">
      <c r="A56" s="41"/>
      <c r="B56" s="131" t="str">
        <f t="shared" si="0"/>
        <v/>
      </c>
      <c r="C56" s="121" t="str">
        <f t="shared" ca="1" si="8"/>
        <v/>
      </c>
      <c r="D56" s="122" t="str">
        <f t="shared" si="1"/>
        <v/>
      </c>
    </row>
    <row r="57" spans="1:4" x14ac:dyDescent="0.25">
      <c r="A57" s="41"/>
      <c r="B57" s="131" t="str">
        <f t="shared" si="0"/>
        <v/>
      </c>
      <c r="C57" s="121" t="str">
        <f t="shared" ca="1" si="8"/>
        <v/>
      </c>
      <c r="D57" s="122" t="str">
        <f t="shared" si="1"/>
        <v/>
      </c>
    </row>
    <row r="58" spans="1:4" x14ac:dyDescent="0.25">
      <c r="A58" s="41"/>
      <c r="B58" s="131" t="str">
        <f t="shared" si="0"/>
        <v/>
      </c>
      <c r="C58" s="121" t="str">
        <f t="shared" ca="1" si="8"/>
        <v/>
      </c>
      <c r="D58" s="122" t="str">
        <f t="shared" si="1"/>
        <v/>
      </c>
    </row>
    <row r="59" spans="1:4" x14ac:dyDescent="0.25">
      <c r="A59" s="41"/>
      <c r="B59" s="131" t="str">
        <f t="shared" si="0"/>
        <v/>
      </c>
      <c r="C59" s="121" t="str">
        <f t="shared" ca="1" si="8"/>
        <v/>
      </c>
      <c r="D59" s="122" t="str">
        <f t="shared" si="1"/>
        <v/>
      </c>
    </row>
    <row r="60" spans="1:4" x14ac:dyDescent="0.25">
      <c r="A60" s="41"/>
      <c r="B60" s="131" t="str">
        <f t="shared" si="0"/>
        <v/>
      </c>
      <c r="C60" s="121" t="str">
        <f t="shared" ca="1" si="8"/>
        <v/>
      </c>
      <c r="D60" s="122" t="str">
        <f t="shared" si="1"/>
        <v/>
      </c>
    </row>
    <row r="61" spans="1:4" x14ac:dyDescent="0.25">
      <c r="A61" s="41"/>
      <c r="B61" s="131" t="str">
        <f t="shared" si="0"/>
        <v/>
      </c>
      <c r="C61" s="121" t="str">
        <f t="shared" ca="1" si="8"/>
        <v/>
      </c>
      <c r="D61" s="122" t="str">
        <f t="shared" si="1"/>
        <v/>
      </c>
    </row>
    <row r="62" spans="1:4" x14ac:dyDescent="0.25">
      <c r="A62" s="41"/>
      <c r="B62" s="131" t="str">
        <f t="shared" si="0"/>
        <v/>
      </c>
      <c r="C62" s="121" t="str">
        <f t="shared" ca="1" si="8"/>
        <v/>
      </c>
      <c r="D62" s="122" t="str">
        <f t="shared" si="1"/>
        <v/>
      </c>
    </row>
    <row r="63" spans="1:4" x14ac:dyDescent="0.25">
      <c r="A63" s="41"/>
      <c r="B63" s="131" t="str">
        <f t="shared" si="0"/>
        <v/>
      </c>
      <c r="C63" s="121" t="str">
        <f t="shared" ca="1" si="8"/>
        <v/>
      </c>
      <c r="D63" s="122" t="str">
        <f t="shared" si="1"/>
        <v/>
      </c>
    </row>
    <row r="64" spans="1:4" x14ac:dyDescent="0.25">
      <c r="A64" s="41"/>
      <c r="B64" s="131" t="str">
        <f t="shared" si="0"/>
        <v/>
      </c>
      <c r="C64" s="121" t="str">
        <f t="shared" ca="1" si="8"/>
        <v/>
      </c>
      <c r="D64" s="122" t="str">
        <f t="shared" si="1"/>
        <v/>
      </c>
    </row>
    <row r="65" spans="1:4" x14ac:dyDescent="0.25">
      <c r="A65" s="41"/>
      <c r="B65" s="131" t="str">
        <f t="shared" si="0"/>
        <v/>
      </c>
      <c r="C65" s="121" t="str">
        <f t="shared" ca="1" si="8"/>
        <v/>
      </c>
      <c r="D65" s="122" t="str">
        <f t="shared" si="1"/>
        <v/>
      </c>
    </row>
    <row r="66" spans="1:4" x14ac:dyDescent="0.25">
      <c r="A66" s="41"/>
      <c r="B66" s="131" t="str">
        <f t="shared" ref="B66:B100" si="9">IF(A66&gt;0,D66*$E$1,"")</f>
        <v/>
      </c>
      <c r="C66" s="121" t="str">
        <f t="shared" ref="C66:C100" ca="1" si="10">IF(A66&gt;0,RAND(),"")</f>
        <v/>
      </c>
      <c r="D66" s="122" t="str">
        <f t="shared" ref="D66:D100" si="11">IF(A66&gt;0,C66/SUM($C$1:$C$100),"")</f>
        <v/>
      </c>
    </row>
    <row r="67" spans="1:4" x14ac:dyDescent="0.25">
      <c r="A67" s="41"/>
      <c r="B67" s="131" t="str">
        <f t="shared" si="9"/>
        <v/>
      </c>
      <c r="C67" s="121" t="str">
        <f t="shared" ca="1" si="10"/>
        <v/>
      </c>
      <c r="D67" s="122" t="str">
        <f t="shared" si="11"/>
        <v/>
      </c>
    </row>
    <row r="68" spans="1:4" x14ac:dyDescent="0.25">
      <c r="A68" s="41"/>
      <c r="B68" s="131" t="str">
        <f t="shared" si="9"/>
        <v/>
      </c>
      <c r="C68" s="121" t="str">
        <f t="shared" ca="1" si="10"/>
        <v/>
      </c>
      <c r="D68" s="122" t="str">
        <f t="shared" si="11"/>
        <v/>
      </c>
    </row>
    <row r="69" spans="1:4" x14ac:dyDescent="0.25">
      <c r="A69" s="41"/>
      <c r="B69" s="131" t="str">
        <f t="shared" si="9"/>
        <v/>
      </c>
      <c r="C69" s="121" t="str">
        <f t="shared" ca="1" si="10"/>
        <v/>
      </c>
      <c r="D69" s="122" t="str">
        <f t="shared" si="11"/>
        <v/>
      </c>
    </row>
    <row r="70" spans="1:4" x14ac:dyDescent="0.25">
      <c r="A70" s="41"/>
      <c r="B70" s="131" t="str">
        <f t="shared" si="9"/>
        <v/>
      </c>
      <c r="C70" s="121" t="str">
        <f t="shared" ca="1" si="10"/>
        <v/>
      </c>
      <c r="D70" s="122" t="str">
        <f t="shared" si="11"/>
        <v/>
      </c>
    </row>
    <row r="71" spans="1:4" x14ac:dyDescent="0.25">
      <c r="A71" s="41"/>
      <c r="B71" s="131" t="str">
        <f t="shared" si="9"/>
        <v/>
      </c>
      <c r="C71" s="121" t="str">
        <f t="shared" ca="1" si="10"/>
        <v/>
      </c>
      <c r="D71" s="122" t="str">
        <f t="shared" si="11"/>
        <v/>
      </c>
    </row>
    <row r="72" spans="1:4" x14ac:dyDescent="0.25">
      <c r="A72" s="41"/>
      <c r="B72" s="131" t="str">
        <f t="shared" si="9"/>
        <v/>
      </c>
      <c r="C72" s="121" t="str">
        <f t="shared" ca="1" si="10"/>
        <v/>
      </c>
      <c r="D72" s="122" t="str">
        <f t="shared" si="11"/>
        <v/>
      </c>
    </row>
    <row r="73" spans="1:4" x14ac:dyDescent="0.25">
      <c r="A73" s="41"/>
      <c r="B73" s="131" t="str">
        <f t="shared" si="9"/>
        <v/>
      </c>
      <c r="C73" s="121" t="str">
        <f t="shared" ca="1" si="10"/>
        <v/>
      </c>
      <c r="D73" s="122" t="str">
        <f t="shared" si="11"/>
        <v/>
      </c>
    </row>
    <row r="74" spans="1:4" x14ac:dyDescent="0.25">
      <c r="A74" s="41"/>
      <c r="B74" s="131" t="str">
        <f t="shared" si="9"/>
        <v/>
      </c>
      <c r="C74" s="121" t="str">
        <f t="shared" ca="1" si="10"/>
        <v/>
      </c>
      <c r="D74" s="122" t="str">
        <f t="shared" si="11"/>
        <v/>
      </c>
    </row>
    <row r="75" spans="1:4" x14ac:dyDescent="0.25">
      <c r="A75" s="41"/>
      <c r="B75" s="131" t="str">
        <f t="shared" si="9"/>
        <v/>
      </c>
      <c r="C75" s="121" t="str">
        <f t="shared" ca="1" si="10"/>
        <v/>
      </c>
      <c r="D75" s="122" t="str">
        <f t="shared" si="11"/>
        <v/>
      </c>
    </row>
    <row r="76" spans="1:4" x14ac:dyDescent="0.25">
      <c r="A76" s="41"/>
      <c r="B76" s="131" t="str">
        <f t="shared" si="9"/>
        <v/>
      </c>
      <c r="C76" s="121" t="str">
        <f t="shared" ca="1" si="10"/>
        <v/>
      </c>
      <c r="D76" s="122" t="str">
        <f t="shared" si="11"/>
        <v/>
      </c>
    </row>
    <row r="77" spans="1:4" x14ac:dyDescent="0.25">
      <c r="A77" s="41"/>
      <c r="B77" s="131" t="str">
        <f t="shared" si="9"/>
        <v/>
      </c>
      <c r="C77" s="121" t="str">
        <f t="shared" ca="1" si="10"/>
        <v/>
      </c>
      <c r="D77" s="122" t="str">
        <f t="shared" si="11"/>
        <v/>
      </c>
    </row>
    <row r="78" spans="1:4" x14ac:dyDescent="0.25">
      <c r="A78" s="41"/>
      <c r="B78" s="131" t="str">
        <f t="shared" si="9"/>
        <v/>
      </c>
      <c r="C78" s="121" t="str">
        <f t="shared" ca="1" si="10"/>
        <v/>
      </c>
      <c r="D78" s="122" t="str">
        <f t="shared" si="11"/>
        <v/>
      </c>
    </row>
    <row r="79" spans="1:4" x14ac:dyDescent="0.25">
      <c r="A79" s="41"/>
      <c r="B79" s="131" t="str">
        <f t="shared" si="9"/>
        <v/>
      </c>
      <c r="C79" s="121" t="str">
        <f t="shared" ca="1" si="10"/>
        <v/>
      </c>
      <c r="D79" s="122" t="str">
        <f t="shared" si="11"/>
        <v/>
      </c>
    </row>
    <row r="80" spans="1:4" x14ac:dyDescent="0.25">
      <c r="A80" s="41"/>
      <c r="B80" s="131" t="str">
        <f t="shared" si="9"/>
        <v/>
      </c>
      <c r="C80" s="121" t="str">
        <f t="shared" ca="1" si="10"/>
        <v/>
      </c>
      <c r="D80" s="122" t="str">
        <f t="shared" si="11"/>
        <v/>
      </c>
    </row>
    <row r="81" spans="1:4" x14ac:dyDescent="0.25">
      <c r="A81" s="41"/>
      <c r="B81" s="131" t="str">
        <f t="shared" si="9"/>
        <v/>
      </c>
      <c r="C81" s="121" t="str">
        <f t="shared" ca="1" si="10"/>
        <v/>
      </c>
      <c r="D81" s="122" t="str">
        <f t="shared" si="11"/>
        <v/>
      </c>
    </row>
    <row r="82" spans="1:4" x14ac:dyDescent="0.25">
      <c r="A82" s="41"/>
      <c r="B82" s="131" t="str">
        <f t="shared" si="9"/>
        <v/>
      </c>
      <c r="C82" s="121" t="str">
        <f t="shared" ca="1" si="10"/>
        <v/>
      </c>
      <c r="D82" s="122" t="str">
        <f t="shared" si="11"/>
        <v/>
      </c>
    </row>
    <row r="83" spans="1:4" x14ac:dyDescent="0.25">
      <c r="A83" s="41"/>
      <c r="B83" s="131" t="str">
        <f t="shared" si="9"/>
        <v/>
      </c>
      <c r="C83" s="121" t="str">
        <f t="shared" ca="1" si="10"/>
        <v/>
      </c>
      <c r="D83" s="122" t="str">
        <f t="shared" si="11"/>
        <v/>
      </c>
    </row>
    <row r="84" spans="1:4" x14ac:dyDescent="0.25">
      <c r="A84" s="41"/>
      <c r="B84" s="131" t="str">
        <f t="shared" si="9"/>
        <v/>
      </c>
      <c r="C84" s="121" t="str">
        <f t="shared" ca="1" si="10"/>
        <v/>
      </c>
      <c r="D84" s="122" t="str">
        <f t="shared" si="11"/>
        <v/>
      </c>
    </row>
    <row r="85" spans="1:4" x14ac:dyDescent="0.25">
      <c r="A85" s="41"/>
      <c r="B85" s="131" t="str">
        <f t="shared" si="9"/>
        <v/>
      </c>
      <c r="C85" s="121" t="str">
        <f t="shared" ca="1" si="10"/>
        <v/>
      </c>
      <c r="D85" s="122" t="str">
        <f t="shared" si="11"/>
        <v/>
      </c>
    </row>
    <row r="86" spans="1:4" x14ac:dyDescent="0.25">
      <c r="A86" s="41"/>
      <c r="B86" s="131" t="str">
        <f t="shared" si="9"/>
        <v/>
      </c>
      <c r="C86" s="121" t="str">
        <f t="shared" ca="1" si="10"/>
        <v/>
      </c>
      <c r="D86" s="122" t="str">
        <f t="shared" si="11"/>
        <v/>
      </c>
    </row>
    <row r="87" spans="1:4" x14ac:dyDescent="0.25">
      <c r="A87" s="41"/>
      <c r="B87" s="131" t="str">
        <f t="shared" si="9"/>
        <v/>
      </c>
      <c r="C87" s="121" t="str">
        <f t="shared" ca="1" si="10"/>
        <v/>
      </c>
      <c r="D87" s="122" t="str">
        <f t="shared" si="11"/>
        <v/>
      </c>
    </row>
    <row r="88" spans="1:4" x14ac:dyDescent="0.25">
      <c r="A88" s="41"/>
      <c r="B88" s="131" t="str">
        <f t="shared" si="9"/>
        <v/>
      </c>
      <c r="C88" s="121" t="str">
        <f t="shared" ca="1" si="10"/>
        <v/>
      </c>
      <c r="D88" s="122" t="str">
        <f t="shared" si="11"/>
        <v/>
      </c>
    </row>
    <row r="89" spans="1:4" x14ac:dyDescent="0.25">
      <c r="A89" s="41"/>
      <c r="B89" s="131" t="str">
        <f t="shared" si="9"/>
        <v/>
      </c>
      <c r="C89" s="121" t="str">
        <f t="shared" ca="1" si="10"/>
        <v/>
      </c>
      <c r="D89" s="122" t="str">
        <f t="shared" si="11"/>
        <v/>
      </c>
    </row>
    <row r="90" spans="1:4" x14ac:dyDescent="0.25">
      <c r="A90" s="41"/>
      <c r="B90" s="131" t="str">
        <f t="shared" si="9"/>
        <v/>
      </c>
      <c r="C90" s="121" t="str">
        <f t="shared" ca="1" si="10"/>
        <v/>
      </c>
      <c r="D90" s="122" t="str">
        <f t="shared" si="11"/>
        <v/>
      </c>
    </row>
    <row r="91" spans="1:4" x14ac:dyDescent="0.25">
      <c r="A91" s="41"/>
      <c r="B91" s="131" t="str">
        <f t="shared" si="9"/>
        <v/>
      </c>
      <c r="C91" s="121" t="str">
        <f t="shared" ca="1" si="10"/>
        <v/>
      </c>
      <c r="D91" s="122" t="str">
        <f t="shared" si="11"/>
        <v/>
      </c>
    </row>
    <row r="92" spans="1:4" x14ac:dyDescent="0.25">
      <c r="A92" s="41"/>
      <c r="B92" s="131" t="str">
        <f t="shared" si="9"/>
        <v/>
      </c>
      <c r="C92" s="121" t="str">
        <f t="shared" ca="1" si="10"/>
        <v/>
      </c>
      <c r="D92" s="122" t="str">
        <f t="shared" si="11"/>
        <v/>
      </c>
    </row>
    <row r="93" spans="1:4" x14ac:dyDescent="0.25">
      <c r="A93" s="41"/>
      <c r="B93" s="131" t="str">
        <f t="shared" si="9"/>
        <v/>
      </c>
      <c r="C93" s="121" t="str">
        <f t="shared" ca="1" si="10"/>
        <v/>
      </c>
      <c r="D93" s="122" t="str">
        <f t="shared" si="11"/>
        <v/>
      </c>
    </row>
    <row r="94" spans="1:4" x14ac:dyDescent="0.25">
      <c r="A94" s="41"/>
      <c r="B94" s="131" t="str">
        <f t="shared" si="9"/>
        <v/>
      </c>
      <c r="C94" s="121" t="str">
        <f t="shared" ca="1" si="10"/>
        <v/>
      </c>
      <c r="D94" s="122" t="str">
        <f t="shared" si="11"/>
        <v/>
      </c>
    </row>
    <row r="95" spans="1:4" x14ac:dyDescent="0.25">
      <c r="A95" s="41"/>
      <c r="B95" s="131" t="str">
        <f t="shared" si="9"/>
        <v/>
      </c>
      <c r="C95" s="121" t="str">
        <f t="shared" ca="1" si="10"/>
        <v/>
      </c>
      <c r="D95" s="122" t="str">
        <f t="shared" si="11"/>
        <v/>
      </c>
    </row>
    <row r="96" spans="1:4" x14ac:dyDescent="0.25">
      <c r="A96" s="41"/>
      <c r="B96" s="131" t="str">
        <f t="shared" si="9"/>
        <v/>
      </c>
      <c r="C96" s="121" t="str">
        <f t="shared" ca="1" si="10"/>
        <v/>
      </c>
      <c r="D96" s="122" t="str">
        <f t="shared" si="11"/>
        <v/>
      </c>
    </row>
    <row r="97" spans="1:8" x14ac:dyDescent="0.25">
      <c r="A97" s="41"/>
      <c r="B97" s="131" t="str">
        <f t="shared" si="9"/>
        <v/>
      </c>
      <c r="C97" s="121" t="str">
        <f t="shared" ca="1" si="10"/>
        <v/>
      </c>
      <c r="D97" s="122" t="str">
        <f t="shared" si="11"/>
        <v/>
      </c>
    </row>
    <row r="98" spans="1:8" x14ac:dyDescent="0.25">
      <c r="A98" s="41"/>
      <c r="B98" s="131" t="str">
        <f t="shared" si="9"/>
        <v/>
      </c>
      <c r="C98" s="121" t="str">
        <f t="shared" ca="1" si="10"/>
        <v/>
      </c>
      <c r="D98" s="122" t="str">
        <f t="shared" si="11"/>
        <v/>
      </c>
    </row>
    <row r="99" spans="1:8" x14ac:dyDescent="0.25">
      <c r="A99" s="41"/>
      <c r="B99" s="131" t="str">
        <f t="shared" si="9"/>
        <v/>
      </c>
      <c r="C99" s="121" t="str">
        <f t="shared" ca="1" si="10"/>
        <v/>
      </c>
      <c r="D99" s="122" t="str">
        <f t="shared" si="11"/>
        <v/>
      </c>
    </row>
    <row r="100" spans="1:8" x14ac:dyDescent="0.25">
      <c r="A100" s="123"/>
      <c r="B100" s="131" t="str">
        <f t="shared" si="9"/>
        <v/>
      </c>
      <c r="C100" s="121" t="str">
        <f t="shared" ca="1" si="10"/>
        <v/>
      </c>
      <c r="D100" s="122" t="str">
        <f t="shared" si="11"/>
        <v/>
      </c>
    </row>
    <row r="101" spans="1:8" s="127" customFormat="1" x14ac:dyDescent="0.25">
      <c r="A101" s="124"/>
      <c r="B101" s="125"/>
      <c r="C101" s="126"/>
      <c r="D101" s="129"/>
      <c r="E101" s="124"/>
      <c r="F101" s="124"/>
      <c r="G101" s="124"/>
      <c r="H101" s="124"/>
    </row>
    <row r="102" spans="1:8" x14ac:dyDescent="0.25">
      <c r="C102" s="121"/>
    </row>
    <row r="103" spans="1:8" x14ac:dyDescent="0.25">
      <c r="C103" s="121"/>
    </row>
    <row r="104" spans="1:8" x14ac:dyDescent="0.25">
      <c r="C104" s="121"/>
    </row>
    <row r="105" spans="1:8" x14ac:dyDescent="0.25">
      <c r="C105" s="121"/>
    </row>
    <row r="106" spans="1:8" x14ac:dyDescent="0.25">
      <c r="C106" s="121"/>
    </row>
    <row r="107" spans="1:8" x14ac:dyDescent="0.25">
      <c r="C107" s="121"/>
    </row>
    <row r="108" spans="1:8" x14ac:dyDescent="0.25">
      <c r="C108" s="121"/>
    </row>
    <row r="109" spans="1:8" x14ac:dyDescent="0.25">
      <c r="C109" s="121"/>
    </row>
    <row r="110" spans="1:8" x14ac:dyDescent="0.25">
      <c r="C110" s="121"/>
    </row>
    <row r="111" spans="1:8" x14ac:dyDescent="0.25">
      <c r="C111" s="121"/>
    </row>
    <row r="112" spans="1:8" x14ac:dyDescent="0.25">
      <c r="C112" s="121"/>
    </row>
    <row r="113" spans="3:3" x14ac:dyDescent="0.25">
      <c r="C113" s="121"/>
    </row>
  </sheetData>
  <conditionalFormatting sqref="B1:B100">
    <cfRule type="cellIs" dxfId="4" priority="3" operator="equal">
      <formula>$F$6</formula>
    </cfRule>
    <cfRule type="cellIs" dxfId="3" priority="5" operator="equal">
      <formula>$F$5</formula>
    </cfRule>
  </conditionalFormatting>
  <conditionalFormatting sqref="F5">
    <cfRule type="cellIs" dxfId="2" priority="4" operator="equal">
      <formula>$F$5</formula>
    </cfRule>
  </conditionalFormatting>
  <conditionalFormatting sqref="F6">
    <cfRule type="cellIs" dxfId="1" priority="1" operator="equal">
      <formula>$F$6</formula>
    </cfRule>
    <cfRule type="cellIs" dxfId="0" priority="2" operator="equal">
      <formula>$F$5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9</xdr:col>
                    <xdr:colOff>219075</xdr:colOff>
                    <xdr:row>3</xdr:row>
                    <xdr:rowOff>47625</xdr:rowOff>
                  </from>
                  <to>
                    <xdr:col>11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A51-2CA5-4822-8601-FF14FDEC312B}">
  <sheetPr codeName="Лист5"/>
  <dimension ref="A1:C10"/>
  <sheetViews>
    <sheetView workbookViewId="0">
      <selection activeCell="E21" sqref="E21"/>
    </sheetView>
  </sheetViews>
  <sheetFormatPr defaultRowHeight="15" x14ac:dyDescent="0.25"/>
  <cols>
    <col min="1" max="1" width="28.140625" customWidth="1"/>
  </cols>
  <sheetData>
    <row r="1" spans="1:3" ht="15.75" customHeight="1" x14ac:dyDescent="0.25">
      <c r="A1" t="s">
        <v>5</v>
      </c>
      <c r="C1" t="s">
        <v>98</v>
      </c>
    </row>
    <row r="2" spans="1:3" ht="15.75" customHeight="1" x14ac:dyDescent="0.25">
      <c r="A2" t="s">
        <v>0</v>
      </c>
      <c r="C2" t="s">
        <v>99</v>
      </c>
    </row>
    <row r="3" spans="1:3" ht="15.75" customHeight="1" x14ac:dyDescent="0.25">
      <c r="A3" t="s">
        <v>4</v>
      </c>
    </row>
    <row r="4" spans="1:3" ht="15.75" customHeight="1" x14ac:dyDescent="0.25">
      <c r="A4" t="s">
        <v>1</v>
      </c>
    </row>
    <row r="5" spans="1:3" ht="15.75" customHeight="1" x14ac:dyDescent="0.25">
      <c r="A5" t="s">
        <v>7</v>
      </c>
    </row>
    <row r="6" spans="1:3" ht="15.75" customHeight="1" x14ac:dyDescent="0.25">
      <c r="A6" t="s">
        <v>2</v>
      </c>
    </row>
    <row r="7" spans="1:3" ht="15.75" customHeight="1" x14ac:dyDescent="0.25">
      <c r="A7" t="s">
        <v>6</v>
      </c>
    </row>
    <row r="8" spans="1:3" ht="15.75" customHeight="1" x14ac:dyDescent="0.25">
      <c r="A8" t="s">
        <v>8</v>
      </c>
    </row>
    <row r="9" spans="1:3" ht="15.75" customHeight="1" x14ac:dyDescent="0.25">
      <c r="A9" t="s">
        <v>3</v>
      </c>
    </row>
    <row r="10" spans="1:3" x14ac:dyDescent="0.25">
      <c r="A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База</vt:lpstr>
      <vt:lpstr>Провиант</vt:lpstr>
      <vt:lpstr>Энергия</vt:lpstr>
      <vt:lpstr>Промменпавер</vt:lpstr>
      <vt:lpstr>Наука</vt:lpstr>
      <vt:lpstr>Распред нас</vt:lpstr>
      <vt:lpstr>Список</vt:lpstr>
      <vt:lpstr>страны</vt:lpstr>
      <vt:lpstr>электричество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LipatovKA</dc:creator>
  <cp:lastModifiedBy>LipatovKA</cp:lastModifiedBy>
  <dcterms:created xsi:type="dcterms:W3CDTF">2015-06-05T18:19:34Z</dcterms:created>
  <dcterms:modified xsi:type="dcterms:W3CDTF">2025-12-12T14:12:08Z</dcterms:modified>
</cp:coreProperties>
</file>