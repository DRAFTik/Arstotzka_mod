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raft\Desktop\_Project Arstotzka\"/>
    </mc:Choice>
  </mc:AlternateContent>
  <xr:revisionPtr revIDLastSave="0" documentId="13_ncr:1_{E7E9FDEB-3CE8-45D3-90B9-8600422D7C52}" xr6:coauthVersionLast="45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База" sheetId="1" r:id="rId1"/>
    <sheet name="Провиант" sheetId="4" r:id="rId2"/>
    <sheet name="Энергия" sheetId="7" r:id="rId3"/>
    <sheet name="Распред нас" sheetId="2" r:id="rId4"/>
    <sheet name="Список" sheetId="5" r:id="rId5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2" l="1"/>
  <c r="G1" i="2"/>
  <c r="G3" i="2"/>
  <c r="F2" i="2"/>
  <c r="G2" i="2" s="1"/>
  <c r="N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H3" i="7"/>
  <c r="W4" i="1"/>
  <c r="W5" i="1"/>
  <c r="W6" i="1"/>
  <c r="W7" i="1"/>
  <c r="W8" i="1"/>
  <c r="W9" i="1"/>
  <c r="W10" i="1"/>
  <c r="W11" i="1"/>
  <c r="W3" i="1"/>
  <c r="V9" i="1"/>
  <c r="V8" i="1"/>
  <c r="V7" i="1"/>
  <c r="V6" i="1"/>
  <c r="V5" i="1"/>
  <c r="V3" i="1"/>
  <c r="V4" i="1"/>
  <c r="W4" i="7"/>
  <c r="W5" i="7"/>
  <c r="W6" i="7"/>
  <c r="W7" i="7"/>
  <c r="W8" i="7"/>
  <c r="W9" i="7"/>
  <c r="W10" i="7"/>
  <c r="W11" i="7"/>
  <c r="W3" i="7"/>
  <c r="F78" i="4"/>
  <c r="E79" i="4"/>
  <c r="F79" i="4" l="1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F6" i="2" l="1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V23" i="4" l="1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Q4" i="1"/>
  <c r="R4" i="1"/>
  <c r="Q5" i="1"/>
  <c r="R5" i="1"/>
  <c r="Q6" i="1"/>
  <c r="R6" i="1"/>
  <c r="Q7" i="1"/>
  <c r="R7" i="1"/>
  <c r="Q8" i="1"/>
  <c r="R8" i="1"/>
  <c r="T8" i="1"/>
  <c r="Q9" i="1"/>
  <c r="R9" i="1"/>
  <c r="Q10" i="1"/>
  <c r="R10" i="1"/>
  <c r="Q11" i="1"/>
  <c r="R11" i="1"/>
  <c r="R3" i="1"/>
  <c r="Q3" i="1"/>
  <c r="AD4" i="1"/>
  <c r="AD5" i="1"/>
  <c r="AD7" i="1"/>
  <c r="AD8" i="1"/>
  <c r="AD9" i="1"/>
  <c r="AD10" i="1"/>
  <c r="AD11" i="1"/>
  <c r="AD3" i="1"/>
  <c r="O4" i="1"/>
  <c r="O5" i="1"/>
  <c r="O6" i="1"/>
  <c r="O7" i="1"/>
  <c r="O8" i="1"/>
  <c r="O9" i="1"/>
  <c r="O10" i="1"/>
  <c r="O11" i="1"/>
  <c r="O3" i="1"/>
  <c r="C14" i="4"/>
  <c r="C12" i="4"/>
  <c r="C13" i="4" s="1"/>
  <c r="H4" i="4"/>
  <c r="H5" i="4"/>
  <c r="H6" i="4"/>
  <c r="H7" i="4"/>
  <c r="H8" i="4"/>
  <c r="H9" i="4"/>
  <c r="H10" i="4"/>
  <c r="H11" i="4"/>
  <c r="H3" i="4"/>
  <c r="T4" i="1"/>
  <c r="T5" i="1"/>
  <c r="T6" i="1"/>
  <c r="T7" i="1"/>
  <c r="T9" i="1"/>
  <c r="T10" i="1"/>
  <c r="T11" i="1"/>
  <c r="T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P3" i="1"/>
  <c r="P4" i="1"/>
  <c r="P5" i="1"/>
  <c r="P6" i="1"/>
  <c r="P7" i="1"/>
  <c r="P8" i="1"/>
  <c r="P9" i="1"/>
  <c r="P10" i="1"/>
  <c r="P11" i="1"/>
  <c r="N11" i="1"/>
  <c r="N10" i="1"/>
  <c r="N9" i="1"/>
  <c r="N8" i="1"/>
  <c r="N7" i="1"/>
  <c r="N5" i="1"/>
  <c r="N4" i="1"/>
  <c r="N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AE9" i="1" l="1"/>
  <c r="AE5" i="1"/>
  <c r="AE6" i="1"/>
  <c r="AE10" i="1"/>
  <c r="AE7" i="1"/>
  <c r="V11" i="7"/>
  <c r="V7" i="7"/>
  <c r="S7" i="1" s="1"/>
  <c r="AE11" i="1"/>
  <c r="V8" i="7"/>
  <c r="S8" i="1" s="1"/>
  <c r="V4" i="7"/>
  <c r="V9" i="7"/>
  <c r="S9" i="1" s="1"/>
  <c r="V5" i="7"/>
  <c r="X5" i="7" s="1"/>
  <c r="U5" i="1" s="1"/>
  <c r="V3" i="7"/>
  <c r="S3" i="1" s="1"/>
  <c r="V10" i="7"/>
  <c r="S10" i="1" s="1"/>
  <c r="V6" i="7"/>
  <c r="AE3" i="1"/>
  <c r="AE4" i="1"/>
  <c r="AE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J5" i="4" l="1"/>
  <c r="F9" i="4"/>
  <c r="F11" i="4"/>
  <c r="J10" i="4"/>
  <c r="X10" i="7"/>
  <c r="U10" i="1" s="1"/>
  <c r="Y3" i="7"/>
  <c r="Y17" i="7" s="1"/>
  <c r="Y5" i="7"/>
  <c r="S5" i="1"/>
  <c r="J8" i="4"/>
  <c r="L39" i="4"/>
  <c r="Z111" i="4"/>
  <c r="L55" i="4"/>
  <c r="J55" i="4" s="1"/>
  <c r="X8" i="7"/>
  <c r="U8" i="1" s="1"/>
  <c r="X11" i="7"/>
  <c r="U11" i="1" s="1"/>
  <c r="S11" i="1"/>
  <c r="Y10" i="7"/>
  <c r="Y7" i="7"/>
  <c r="X4" i="7"/>
  <c r="U4" i="1" s="1"/>
  <c r="S4" i="1"/>
  <c r="Y6" i="7"/>
  <c r="S6" i="1"/>
  <c r="X6" i="7"/>
  <c r="U6" i="1" s="1"/>
  <c r="J7" i="4"/>
  <c r="J6" i="4"/>
  <c r="J4" i="4"/>
  <c r="X9" i="7"/>
  <c r="U9" i="1" s="1"/>
  <c r="Y9" i="7"/>
  <c r="Y8" i="7"/>
  <c r="X7" i="7"/>
  <c r="U7" i="1" s="1"/>
  <c r="Y4" i="7"/>
  <c r="Y11" i="7"/>
  <c r="X3" i="7"/>
  <c r="U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Y21" i="7" l="1"/>
  <c r="Y16" i="7"/>
  <c r="S3" i="4"/>
  <c r="Q5" i="4" s="1"/>
  <c r="Y18" i="7"/>
  <c r="Y15" i="7"/>
  <c r="Y19" i="7"/>
  <c r="Y20" i="7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T16" i="4" l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L21" i="1"/>
  <c r="N21" i="1" s="1"/>
  <c r="V21" i="1" s="1"/>
  <c r="AC6" i="1"/>
  <c r="AB7" i="1"/>
  <c r="AD6" i="1" l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D12" i="1"/>
  <c r="Z9" i="1"/>
  <c r="Z3" i="1"/>
  <c r="X3" i="1"/>
  <c r="Y3" i="1"/>
  <c r="AQ4" i="1"/>
  <c r="AQ5" i="1"/>
  <c r="AQ6" i="1"/>
  <c r="AQ7" i="1"/>
  <c r="AQ8" i="1"/>
  <c r="AQ9" i="1"/>
  <c r="AQ10" i="1"/>
  <c r="AQ11" i="1"/>
  <c r="AQ3" i="1"/>
  <c r="F4" i="1"/>
  <c r="F5" i="1"/>
  <c r="F6" i="1"/>
  <c r="F7" i="1"/>
  <c r="F8" i="1"/>
  <c r="F9" i="1"/>
  <c r="F10" i="1"/>
  <c r="F11" i="1"/>
  <c r="F3" i="1"/>
  <c r="AB3" i="1"/>
  <c r="L4" i="1"/>
  <c r="L5" i="1"/>
  <c r="L6" i="1"/>
  <c r="L7" i="1"/>
  <c r="L8" i="1"/>
  <c r="L9" i="1"/>
  <c r="L10" i="1"/>
  <c r="L11" i="1"/>
  <c r="L3" i="1"/>
  <c r="Z11" i="1"/>
  <c r="Y9" i="1"/>
  <c r="Y8" i="1"/>
  <c r="Z8" i="1"/>
  <c r="X8" i="1"/>
  <c r="Z7" i="1"/>
  <c r="Y7" i="1"/>
  <c r="AB6" i="1"/>
  <c r="X6" i="1"/>
  <c r="Z6" i="1"/>
  <c r="Y6" i="1"/>
  <c r="AB5" i="1"/>
  <c r="Z5" i="1"/>
  <c r="X5" i="1"/>
  <c r="AA5" i="1"/>
  <c r="Y5" i="1"/>
  <c r="X4" i="1"/>
  <c r="Y4" i="1"/>
  <c r="AB4" i="1"/>
  <c r="Z4" i="1"/>
  <c r="U18" i="4" l="1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G39" i="4" l="1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U20" i="4" l="1"/>
  <c r="N63" i="4"/>
  <c r="I20" i="4"/>
  <c r="J51" i="4"/>
  <c r="H20" i="4"/>
  <c r="U21" i="4" l="1"/>
  <c r="I21" i="4"/>
  <c r="H21" i="4"/>
  <c r="U22" i="4" l="1"/>
  <c r="I22" i="4"/>
  <c r="H22" i="4"/>
  <c r="U23" i="4" l="1"/>
  <c r="I23" i="4"/>
  <c r="H23" i="4"/>
  <c r="U24" i="4" l="1"/>
  <c r="I24" i="4"/>
  <c r="H24" i="4"/>
  <c r="U25" i="4" l="1"/>
  <c r="I25" i="4"/>
  <c r="H25" i="4"/>
  <c r="U26" i="4" l="1"/>
  <c r="I26" i="4"/>
  <c r="H26" i="4"/>
  <c r="U27" i="4" l="1"/>
  <c r="I27" i="4"/>
  <c r="H27" i="4"/>
  <c r="U28" i="4" l="1"/>
  <c r="I28" i="4"/>
  <c r="H28" i="4"/>
  <c r="U29" i="4" l="1"/>
  <c r="I29" i="4"/>
  <c r="H29" i="4"/>
  <c r="U30" i="4" l="1"/>
  <c r="I30" i="4"/>
  <c r="H30" i="4"/>
  <c r="U31" i="4" l="1"/>
  <c r="I31" i="4"/>
  <c r="H31" i="4"/>
  <c r="U32" i="4" l="1"/>
  <c r="I32" i="4"/>
  <c r="H32" i="4"/>
  <c r="U33" i="4" l="1"/>
  <c r="I33" i="4"/>
  <c r="H33" i="4"/>
  <c r="U34" i="4" l="1"/>
  <c r="I34" i="4"/>
  <c r="H34" i="4"/>
  <c r="U35" i="4" l="1"/>
  <c r="I35" i="4"/>
  <c r="H35" i="4"/>
  <c r="U36" i="4" l="1"/>
  <c r="I36" i="4"/>
  <c r="H36" i="4"/>
  <c r="U37" i="4" l="1"/>
  <c r="I37" i="4"/>
  <c r="H37" i="4"/>
  <c r="U38" i="4" l="1"/>
  <c r="I38" i="4"/>
  <c r="H38" i="4"/>
  <c r="U39" i="4" l="1"/>
  <c r="I39" i="4"/>
  <c r="H39" i="4"/>
  <c r="U40" i="4" l="1"/>
  <c r="I40" i="4"/>
  <c r="H40" i="4"/>
  <c r="U41" i="4" l="1"/>
  <c r="I41" i="4"/>
  <c r="H41" i="4"/>
  <c r="U42" i="4" l="1"/>
  <c r="I42" i="4"/>
  <c r="H42" i="4"/>
  <c r="U43" i="4" l="1"/>
  <c r="I43" i="4"/>
  <c r="H43" i="4"/>
  <c r="U44" i="4" l="1"/>
  <c r="I44" i="4"/>
  <c r="H44" i="4"/>
  <c r="U45" i="4" l="1"/>
  <c r="I45" i="4"/>
  <c r="H45" i="4"/>
  <c r="U46" i="4" l="1"/>
  <c r="I46" i="4"/>
  <c r="H46" i="4"/>
  <c r="U47" i="4" l="1"/>
  <c r="I47" i="4"/>
  <c r="H47" i="4"/>
  <c r="U48" i="4" l="1"/>
  <c r="I48" i="4"/>
  <c r="H48" i="4"/>
  <c r="U49" i="4" l="1"/>
  <c r="I49" i="4"/>
  <c r="H49" i="4"/>
  <c r="U50" i="4" l="1"/>
  <c r="I50" i="4"/>
  <c r="H50" i="4"/>
  <c r="U51" i="4" l="1"/>
  <c r="I51" i="4"/>
  <c r="H51" i="4"/>
  <c r="U52" i="4" l="1"/>
  <c r="I52" i="4"/>
  <c r="H52" i="4"/>
  <c r="U53" i="4" l="1"/>
  <c r="I53" i="4"/>
  <c r="H53" i="4"/>
  <c r="U54" i="4" l="1"/>
  <c r="I54" i="4"/>
  <c r="H54" i="4"/>
  <c r="U55" i="4" l="1"/>
  <c r="I55" i="4"/>
  <c r="H55" i="4"/>
  <c r="U56" i="4" l="1"/>
  <c r="I56" i="4"/>
  <c r="H56" i="4"/>
  <c r="U57" i="4" l="1"/>
  <c r="I57" i="4"/>
  <c r="H57" i="4"/>
  <c r="U58" i="4" l="1"/>
  <c r="I58" i="4"/>
  <c r="H58" i="4"/>
  <c r="U59" i="4" l="1"/>
  <c r="I59" i="4"/>
  <c r="H59" i="4"/>
  <c r="U60" i="4" l="1"/>
  <c r="I60" i="4"/>
  <c r="H60" i="4"/>
  <c r="U61" i="4" l="1"/>
  <c r="I61" i="4"/>
  <c r="H61" i="4"/>
  <c r="U62" i="4" l="1"/>
  <c r="I63" i="4"/>
  <c r="I62" i="4"/>
  <c r="H62" i="4"/>
  <c r="U63" i="4" l="1"/>
  <c r="H63" i="4"/>
  <c r="U64" i="4" l="1"/>
  <c r="U65" i="4" l="1"/>
  <c r="U66" i="4" l="1"/>
  <c r="U67" i="4" l="1"/>
  <c r="U68" i="4" l="1"/>
  <c r="U69" i="4" l="1"/>
  <c r="U70" i="4" l="1"/>
  <c r="U71" i="4" l="1"/>
  <c r="U72" i="4" l="1"/>
  <c r="U73" i="4" l="1"/>
  <c r="U74" i="4" l="1"/>
  <c r="U75" i="4" l="1"/>
  <c r="U76" i="4" l="1"/>
  <c r="U77" i="4" l="1"/>
  <c r="U78" i="4" l="1"/>
  <c r="U79" i="4" l="1"/>
  <c r="U80" i="4" l="1"/>
  <c r="U81" i="4" l="1"/>
  <c r="U82" i="4" l="1"/>
  <c r="U83" i="4" l="1"/>
  <c r="U84" i="4" l="1"/>
  <c r="U85" i="4" l="1"/>
  <c r="U86" i="4" l="1"/>
  <c r="U87" i="4" l="1"/>
  <c r="U88" i="4" l="1"/>
  <c r="U89" i="4" l="1"/>
  <c r="U90" i="4" l="1"/>
  <c r="U91" i="4" l="1"/>
  <c r="U92" i="4" l="1"/>
  <c r="U93" i="4" l="1"/>
  <c r="U94" i="4" l="1"/>
  <c r="U95" i="4" l="1"/>
  <c r="U96" i="4" l="1"/>
  <c r="U97" i="4" l="1"/>
  <c r="U98" i="4" l="1"/>
  <c r="U99" i="4" l="1"/>
  <c r="U100" i="4" l="1"/>
  <c r="U101" i="4" l="1"/>
  <c r="U102" i="4" l="1"/>
  <c r="U103" i="4" l="1"/>
  <c r="U104" i="4" l="1"/>
  <c r="U105" i="4" l="1"/>
  <c r="U106" i="4" l="1"/>
  <c r="U107" i="4" l="1"/>
  <c r="U108" i="4" l="1"/>
  <c r="U109" i="4" l="1"/>
  <c r="U110" i="4" l="1"/>
  <c r="U111" i="4" l="1"/>
  <c r="U112" i="4" l="1"/>
  <c r="U113" i="4" l="1"/>
  <c r="U114" i="4" l="1"/>
  <c r="U115" i="4" l="1"/>
  <c r="U116" i="4" l="1"/>
  <c r="U117" i="4" l="1"/>
  <c r="U118" i="4" l="1"/>
  <c r="U119" i="4" l="1"/>
  <c r="U120" i="4" l="1"/>
  <c r="U121" i="4" l="1"/>
  <c r="U122" i="4" l="1"/>
  <c r="U123" i="4" l="1"/>
  <c r="U124" i="4" l="1"/>
  <c r="U125" i="4" l="1"/>
  <c r="U126" i="4" l="1"/>
  <c r="U127" i="4" l="1"/>
  <c r="U128" i="4" l="1"/>
  <c r="U129" i="4" l="1"/>
  <c r="U130" i="4" l="1"/>
  <c r="U131" i="4" l="1"/>
  <c r="U132" i="4" l="1"/>
  <c r="U133" i="4" l="1"/>
  <c r="U134" i="4" l="1"/>
  <c r="U135" i="4" l="1"/>
  <c r="U136" i="4" l="1"/>
  <c r="U137" i="4" l="1"/>
  <c r="U138" i="4" l="1"/>
  <c r="U139" i="4" l="1"/>
  <c r="U140" i="4" l="1"/>
  <c r="U141" i="4" l="1"/>
  <c r="U142" i="4" l="1"/>
  <c r="U143" i="4" l="1"/>
  <c r="U144" i="4" l="1"/>
  <c r="U145" i="4" l="1"/>
  <c r="U146" i="4" l="1"/>
  <c r="U147" i="4" l="1"/>
  <c r="U148" i="4" l="1"/>
  <c r="U149" i="4" l="1"/>
  <c r="U150" i="4" l="1"/>
  <c r="U151" i="4" l="1"/>
  <c r="U152" i="4" l="1"/>
  <c r="U153" i="4" l="1"/>
  <c r="U154" i="4" l="1"/>
  <c r="U155" i="4" l="1"/>
  <c r="U156" i="4" l="1"/>
  <c r="U157" i="4" l="1"/>
  <c r="U158" i="4" l="1"/>
  <c r="U159" i="4" l="1"/>
  <c r="E2" i="2"/>
  <c r="E3" i="2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<sst xmlns="http://schemas.openxmlformats.org/spreadsheetml/2006/main" count="160" uniqueCount="106">
  <si>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</si>
  <si>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</si>
  <si>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</si>
  <si>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</si>
  <si>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</si>
  <si>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</si>
  <si>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</si>
  <si>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</si>
  <si>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</si>
  <si>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</si>
  <si>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</si>
  <si>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</si>
  <si>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</si>
  <si>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</si>
  <si>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</si>
  <si>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</si>
  <si>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</si>
  <si>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</si>
  <si>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</si>
  <si>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</si>
  <si>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</si>
  <si>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</si>
  <si>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</si>
  <si>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</si>
  <si>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</si>
  <si>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</si>
  <si>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</si>
  <si>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</si>
  <si>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</si>
  <si>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</si>
  <si>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</si>
  <si>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</si>
  <si>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</si>
  <si>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</si>
  <si>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</si>
  <si>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</si>
  <si>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</si>
  <si>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</si>
  <si>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</si>
  <si>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</si>
  <si>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</si>
  <si>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</si>
  <si>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</si>
  <si>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</si>
  <si>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</si>
  <si>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</si>
  <si>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</si>
  <si>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</si>
  <si>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</si>
  <si>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</si>
  <si>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</si>
  <si>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</si>
  <si>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</si>
  <si>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</si>
  <si>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</si>
  <si>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</si>
  <si>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</si>
  <si>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</si>
  <si>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</si>
  <si>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</si>
  <si>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</si>
  <si>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</si>
  <si>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</si>
  <si>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</si>
  <si>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</si>
  <si>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</si>
  <si>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</si>
  <si>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</si>
  <si>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</si>
  <si>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</si>
  <si>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</si>
  <si>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</si>
  <si>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</si>
  <si>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</si>
  <si>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</si>
  <si>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</si>
  <si>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</si>
  <si>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</si>
  <si>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</si>
  <si>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</si>
  <si>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</si>
  <si>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</si>
  <si>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</si>
  <si>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</si>
  <si>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</si>
  <si>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</si>
  <si>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</si>
  <si>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</si>
  <si>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дальность радаров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</si>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</sst>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8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Fill="1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40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2" fillId="0" borderId="3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219075</xdr:colOff>
      <xdr:row>1</xdr:row>
      <xdr:rowOff>16094</xdr:rowOff>
    </xdr:from>
    <xdr:to>
      <xdr:col>32</xdr:col>
      <xdr:colOff>457200</xdr:colOff>
      <xdr:row>1</xdr:row>
      <xdr:rowOff>265058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903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33</xdr:col>
      <xdr:colOff>142875</xdr:colOff>
      <xdr:row>1</xdr:row>
      <xdr:rowOff>16094</xdr:rowOff>
    </xdr:from>
    <xdr:to>
      <xdr:col>33</xdr:col>
      <xdr:colOff>381000</xdr:colOff>
      <xdr:row>1</xdr:row>
      <xdr:rowOff>265058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4306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39</xdr:col>
      <xdr:colOff>170793</xdr:colOff>
      <xdr:row>1</xdr:row>
      <xdr:rowOff>6569</xdr:rowOff>
    </xdr:from>
    <xdr:to>
      <xdr:col>39</xdr:col>
      <xdr:colOff>408918</xdr:colOff>
      <xdr:row>1</xdr:row>
      <xdr:rowOff>254219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48586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37</xdr:col>
      <xdr:colOff>210207</xdr:colOff>
      <xdr:row>1</xdr:row>
      <xdr:rowOff>6569</xdr:rowOff>
    </xdr:from>
    <xdr:to>
      <xdr:col>37</xdr:col>
      <xdr:colOff>448332</xdr:colOff>
      <xdr:row>1</xdr:row>
      <xdr:rowOff>254219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6173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41</xdr:col>
      <xdr:colOff>177362</xdr:colOff>
      <xdr:row>1</xdr:row>
      <xdr:rowOff>19707</xdr:rowOff>
    </xdr:from>
    <xdr:to>
      <xdr:col>41</xdr:col>
      <xdr:colOff>415487</xdr:colOff>
      <xdr:row>1</xdr:row>
      <xdr:rowOff>267357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6983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40</xdr:col>
      <xdr:colOff>183930</xdr:colOff>
      <xdr:row>1</xdr:row>
      <xdr:rowOff>0</xdr:rowOff>
    </xdr:from>
    <xdr:to>
      <xdr:col>40</xdr:col>
      <xdr:colOff>422055</xdr:colOff>
      <xdr:row>1</xdr:row>
      <xdr:rowOff>247650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72637" y="21020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34</xdr:col>
      <xdr:colOff>170794</xdr:colOff>
      <xdr:row>1</xdr:row>
      <xdr:rowOff>0</xdr:rowOff>
    </xdr:from>
    <xdr:to>
      <xdr:col>34</xdr:col>
      <xdr:colOff>408919</xdr:colOff>
      <xdr:row>1</xdr:row>
      <xdr:rowOff>247650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4018" y="21020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38</xdr:col>
      <xdr:colOff>197070</xdr:colOff>
      <xdr:row>1</xdr:row>
      <xdr:rowOff>13138</xdr:rowOff>
    </xdr:from>
    <xdr:to>
      <xdr:col>38</xdr:col>
      <xdr:colOff>435195</xdr:colOff>
      <xdr:row>1</xdr:row>
      <xdr:rowOff>260788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3949" y="223345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35</xdr:col>
      <xdr:colOff>197068</xdr:colOff>
      <xdr:row>0</xdr:row>
      <xdr:rowOff>203638</xdr:rowOff>
    </xdr:from>
    <xdr:to>
      <xdr:col>35</xdr:col>
      <xdr:colOff>435193</xdr:colOff>
      <xdr:row>1</xdr:row>
      <xdr:rowOff>241081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206" y="203638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36</xdr:col>
      <xdr:colOff>203638</xdr:colOff>
      <xdr:row>1</xdr:row>
      <xdr:rowOff>19707</xdr:rowOff>
    </xdr:from>
    <xdr:to>
      <xdr:col>36</xdr:col>
      <xdr:colOff>441763</xdr:colOff>
      <xdr:row>1</xdr:row>
      <xdr:rowOff>267357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8690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426326</xdr:colOff>
      <xdr:row>2</xdr:row>
      <xdr:rowOff>22336</xdr:rowOff>
    </xdr:from>
    <xdr:to>
      <xdr:col>31</xdr:col>
      <xdr:colOff>664451</xdr:colOff>
      <xdr:row>3</xdr:row>
      <xdr:rowOff>657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6981" y="52157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420413</xdr:colOff>
      <xdr:row>5</xdr:row>
      <xdr:rowOff>0</xdr:rowOff>
    </xdr:from>
    <xdr:to>
      <xdr:col>31</xdr:col>
      <xdr:colOff>658538</xdr:colOff>
      <xdr:row>5</xdr:row>
      <xdr:rowOff>247650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1068" y="130722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426983</xdr:colOff>
      <xdr:row>6</xdr:row>
      <xdr:rowOff>52552</xdr:rowOff>
    </xdr:from>
    <xdr:to>
      <xdr:col>31</xdr:col>
      <xdr:colOff>665108</xdr:colOff>
      <xdr:row>6</xdr:row>
      <xdr:rowOff>300202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7638" y="162910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441435</xdr:colOff>
      <xdr:row>10</xdr:row>
      <xdr:rowOff>1315</xdr:rowOff>
    </xdr:from>
    <xdr:to>
      <xdr:col>31</xdr:col>
      <xdr:colOff>679560</xdr:colOff>
      <xdr:row>10</xdr:row>
      <xdr:rowOff>248965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2090" y="2576349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428296</xdr:colOff>
      <xdr:row>6</xdr:row>
      <xdr:rowOff>375745</xdr:rowOff>
    </xdr:from>
    <xdr:to>
      <xdr:col>31</xdr:col>
      <xdr:colOff>666421</xdr:colOff>
      <xdr:row>7</xdr:row>
      <xdr:rowOff>242395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8951" y="195229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422182</xdr:colOff>
      <xdr:row>8</xdr:row>
      <xdr:rowOff>4295</xdr:rowOff>
    </xdr:from>
    <xdr:to>
      <xdr:col>31</xdr:col>
      <xdr:colOff>660307</xdr:colOff>
      <xdr:row>8</xdr:row>
      <xdr:rowOff>251945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932" y="2202372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3</xdr:row>
      <xdr:rowOff>14654</xdr:rowOff>
    </xdr:from>
    <xdr:to>
      <xdr:col>31</xdr:col>
      <xdr:colOff>655760</xdr:colOff>
      <xdr:row>3</xdr:row>
      <xdr:rowOff>263618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8385" y="776654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31</xdr:col>
      <xdr:colOff>424203</xdr:colOff>
      <xdr:row>4</xdr:row>
      <xdr:rowOff>10359</xdr:rowOff>
    </xdr:from>
    <xdr:to>
      <xdr:col>31</xdr:col>
      <xdr:colOff>662328</xdr:colOff>
      <xdr:row>4</xdr:row>
      <xdr:rowOff>258009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4953" y="1036128"/>
          <a:ext cx="238125" cy="247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Q21"/>
  <sheetViews>
    <sheetView zoomScale="130" zoomScaleNormal="13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8" sqref="A8:XFD8"/>
    </sheetView>
  </sheetViews>
  <sheetFormatPr defaultRowHeight="15" x14ac:dyDescent="0.25"/>
  <cols>
    <col min="1" max="1" width="14.7109375" customWidth="1"/>
    <col min="2" max="2" width="4.7109375" bestFit="1" customWidth="1"/>
    <col min="3" max="13" width="10.85546875" customWidth="1"/>
    <col min="14" max="14" width="9.7109375" customWidth="1"/>
    <col min="15" max="15" width="13.140625" customWidth="1"/>
    <col min="16" max="16" width="9.7109375" customWidth="1"/>
    <col min="17" max="18" width="3.85546875" bestFit="1" customWidth="1"/>
    <col min="19" max="19" width="11.85546875" bestFit="1" customWidth="1"/>
    <col min="20" max="20" width="12.7109375" bestFit="1" customWidth="1"/>
    <col min="21" max="21" width="12.28515625" bestFit="1" customWidth="1"/>
    <col min="22" max="22" width="10.85546875" bestFit="1" customWidth="1"/>
    <col min="23" max="23" width="10.85546875" customWidth="1"/>
    <col min="25" max="25" width="11.42578125" bestFit="1" customWidth="1"/>
    <col min="26" max="26" width="12" bestFit="1" customWidth="1"/>
    <col min="28" max="28" width="9.140625" customWidth="1"/>
    <col min="29" max="29" width="14.7109375" bestFit="1" customWidth="1"/>
    <col min="30" max="31" width="14.5703125" bestFit="1" customWidth="1"/>
    <col min="32" max="32" width="16" bestFit="1" customWidth="1"/>
    <col min="33" max="33" width="10.140625" customWidth="1"/>
    <col min="34" max="34" width="8.28515625" customWidth="1"/>
    <col min="42" max="42" width="9.140625" customWidth="1"/>
  </cols>
  <sheetData>
    <row r="1" spans="1:43" ht="16.5" thickBot="1" x14ac:dyDescent="0.3">
      <c r="A1" s="155" t="s">
        <v>9</v>
      </c>
      <c r="B1" s="155" t="s">
        <v>16</v>
      </c>
      <c r="C1" s="158" t="s">
        <v>39</v>
      </c>
      <c r="D1" s="162"/>
      <c r="E1" s="162"/>
      <c r="F1" s="163"/>
      <c r="G1" s="155" t="s">
        <v>10</v>
      </c>
      <c r="H1" s="158" t="s">
        <v>11</v>
      </c>
      <c r="I1" s="158" t="s">
        <v>42</v>
      </c>
      <c r="J1" s="162"/>
      <c r="K1" s="162"/>
      <c r="L1" s="162"/>
      <c r="M1" s="162"/>
      <c r="N1" s="162"/>
      <c r="O1" s="162"/>
      <c r="P1" s="163"/>
      <c r="Q1" s="171" t="s">
        <v>91</v>
      </c>
      <c r="R1" s="172"/>
      <c r="S1" s="172"/>
      <c r="T1" s="172"/>
      <c r="U1" s="173"/>
      <c r="V1" s="164" t="s">
        <v>38</v>
      </c>
      <c r="W1" s="164"/>
      <c r="X1" s="165"/>
      <c r="Y1" s="165"/>
      <c r="Z1" s="165"/>
      <c r="AA1" s="165"/>
      <c r="AB1" s="166"/>
      <c r="AC1" s="167" t="s">
        <v>43</v>
      </c>
      <c r="AD1" s="169" t="s">
        <v>44</v>
      </c>
      <c r="AE1" s="170"/>
      <c r="AF1" s="160" t="s">
        <v>37</v>
      </c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</row>
    <row r="2" spans="1:43" s="1" customFormat="1" ht="32.25" thickBot="1" x14ac:dyDescent="0.3">
      <c r="A2" s="156"/>
      <c r="B2" s="156"/>
      <c r="C2" s="18" t="s">
        <v>33</v>
      </c>
      <c r="D2" s="18" t="s">
        <v>34</v>
      </c>
      <c r="E2" s="19" t="s">
        <v>35</v>
      </c>
      <c r="F2" s="26" t="s">
        <v>36</v>
      </c>
      <c r="G2" s="157"/>
      <c r="H2" s="159"/>
      <c r="I2" s="18" t="s">
        <v>12</v>
      </c>
      <c r="J2" s="18" t="s">
        <v>13</v>
      </c>
      <c r="K2" s="18" t="s">
        <v>14</v>
      </c>
      <c r="L2" s="53" t="s">
        <v>32</v>
      </c>
      <c r="M2" s="55" t="s">
        <v>104</v>
      </c>
      <c r="N2" s="55" t="s">
        <v>47</v>
      </c>
      <c r="O2" s="115" t="s">
        <v>90</v>
      </c>
      <c r="P2" s="120" t="s">
        <v>59</v>
      </c>
      <c r="Q2" s="115" t="s">
        <v>69</v>
      </c>
      <c r="R2" s="115" t="s">
        <v>62</v>
      </c>
      <c r="S2" s="115" t="s">
        <v>84</v>
      </c>
      <c r="T2" s="115" t="s">
        <v>83</v>
      </c>
      <c r="U2" s="115" t="s">
        <v>82</v>
      </c>
      <c r="V2" s="116" t="s">
        <v>103</v>
      </c>
      <c r="W2" s="134" t="s">
        <v>26</v>
      </c>
      <c r="X2" s="18" t="s">
        <v>27</v>
      </c>
      <c r="Y2" s="18" t="s">
        <v>28</v>
      </c>
      <c r="Z2" s="18" t="s">
        <v>30</v>
      </c>
      <c r="AA2" s="18" t="s">
        <v>31</v>
      </c>
      <c r="AB2" s="18" t="s">
        <v>29</v>
      </c>
      <c r="AC2" s="168"/>
      <c r="AD2" s="52" t="s">
        <v>46</v>
      </c>
      <c r="AE2" s="52" t="s">
        <v>45</v>
      </c>
      <c r="AF2" s="18" t="s">
        <v>40</v>
      </c>
      <c r="AG2" s="18"/>
      <c r="AH2" s="18"/>
      <c r="AI2" s="18"/>
      <c r="AJ2" s="18"/>
      <c r="AK2" s="18"/>
      <c r="AL2" s="18"/>
      <c r="AM2" s="18"/>
      <c r="AN2" s="18"/>
      <c r="AO2" s="18"/>
      <c r="AP2" s="19"/>
      <c r="AQ2" s="30" t="s">
        <v>41</v>
      </c>
    </row>
    <row r="3" spans="1:43" s="5" customFormat="1" ht="21" customHeight="1" x14ac:dyDescent="0.25">
      <c r="A3" s="40" t="s">
        <v>5</v>
      </c>
      <c r="B3" s="15" t="s">
        <v>17</v>
      </c>
      <c r="C3" s="15">
        <v>10</v>
      </c>
      <c r="D3" s="15">
        <v>5</v>
      </c>
      <c r="E3" s="20"/>
      <c r="F3" s="27">
        <f>SUM(C3:E3)</f>
        <v>15</v>
      </c>
      <c r="G3" s="22"/>
      <c r="H3" s="20"/>
      <c r="I3" s="17">
        <v>7</v>
      </c>
      <c r="J3" s="15">
        <v>7</v>
      </c>
      <c r="K3" s="16">
        <v>0</v>
      </c>
      <c r="L3" s="111">
        <f>SUM(I3:K3)</f>
        <v>14</v>
      </c>
      <c r="M3" s="16">
        <v>1</v>
      </c>
      <c r="N3" s="94">
        <f>Провиант!B3</f>
        <v>3</v>
      </c>
      <c r="O3" s="95">
        <f>Провиант!C3</f>
        <v>3</v>
      </c>
      <c r="P3" s="119">
        <f>Провиант!D3</f>
        <v>0</v>
      </c>
      <c r="Q3" s="94">
        <f>Энергия!B3</f>
        <v>1</v>
      </c>
      <c r="R3" s="95">
        <f>Энергия!C3</f>
        <v>0</v>
      </c>
      <c r="S3" s="95">
        <f>Энергия!V3</f>
        <v>96.75</v>
      </c>
      <c r="T3" s="95">
        <f>Энергия!W3</f>
        <v>60</v>
      </c>
      <c r="U3" s="114">
        <f>Энергия!X3</f>
        <v>-36.75</v>
      </c>
      <c r="V3" s="22">
        <f>(10+14+4+3)-M3*8</f>
        <v>23</v>
      </c>
      <c r="W3" s="22">
        <f>M3*4</f>
        <v>4</v>
      </c>
      <c r="X3" s="15">
        <f>11</f>
        <v>11</v>
      </c>
      <c r="Y3" s="15">
        <f>23</f>
        <v>23</v>
      </c>
      <c r="Z3" s="15">
        <f>5</f>
        <v>5</v>
      </c>
      <c r="AA3" s="15"/>
      <c r="AB3" s="16">
        <f>70</f>
        <v>70</v>
      </c>
      <c r="AC3" s="76">
        <v>18846379</v>
      </c>
      <c r="AD3" s="117">
        <f>AC3*127/1000</f>
        <v>2393490.1329999999</v>
      </c>
      <c r="AE3" s="118">
        <f>N3*Провиант!$B$12+База!O3*Провиант!$C$12</f>
        <v>946259.7</v>
      </c>
      <c r="AF3" s="22"/>
      <c r="AG3" s="31"/>
      <c r="AH3" s="31"/>
      <c r="AI3" s="31">
        <v>0.05</v>
      </c>
      <c r="AJ3" s="31"/>
      <c r="AK3" s="31"/>
      <c r="AL3" s="31"/>
      <c r="AM3" s="31">
        <v>0.05</v>
      </c>
      <c r="AN3" s="31">
        <v>7.0000000000000007E-2</v>
      </c>
      <c r="AO3" s="31">
        <v>0.1</v>
      </c>
      <c r="AP3" s="36">
        <v>0.73</v>
      </c>
      <c r="AQ3" s="32">
        <f>1-SUM(AG3:AP3)</f>
        <v>0</v>
      </c>
    </row>
    <row r="4" spans="1:43" s="3" customFormat="1" ht="21" customHeight="1" x14ac:dyDescent="0.25">
      <c r="A4" s="41" t="s">
        <v>0</v>
      </c>
      <c r="B4" s="2" t="s">
        <v>18</v>
      </c>
      <c r="C4" s="2">
        <v>19</v>
      </c>
      <c r="D4" s="2">
        <v>5</v>
      </c>
      <c r="E4" s="7">
        <v>4</v>
      </c>
      <c r="F4" s="28">
        <f t="shared" ref="F4:F11" si="0">SUM(C4:E4)</f>
        <v>28</v>
      </c>
      <c r="G4" s="23"/>
      <c r="H4" s="7"/>
      <c r="I4" s="10">
        <v>10</v>
      </c>
      <c r="J4" s="2">
        <v>13</v>
      </c>
      <c r="K4" s="11">
        <v>5</v>
      </c>
      <c r="L4" s="112">
        <f t="shared" ref="L4:L11" si="1">SUM(I4:K4)</f>
        <v>28</v>
      </c>
      <c r="M4" s="11">
        <v>4</v>
      </c>
      <c r="N4" s="10">
        <f>Провиант!B4</f>
        <v>5</v>
      </c>
      <c r="O4" s="2">
        <f>Провиант!C4</f>
        <v>10</v>
      </c>
      <c r="P4" s="7">
        <f>Провиант!D4</f>
        <v>0</v>
      </c>
      <c r="Q4" s="10">
        <f>Энергия!B4</f>
        <v>3</v>
      </c>
      <c r="R4" s="2">
        <f>Энергия!C4</f>
        <v>0</v>
      </c>
      <c r="S4" s="2">
        <f>Энергия!V4</f>
        <v>220.75</v>
      </c>
      <c r="T4" s="2">
        <f>Энергия!W4</f>
        <v>180</v>
      </c>
      <c r="U4" s="11">
        <f>Энергия!X4</f>
        <v>-40.75</v>
      </c>
      <c r="V4" s="23">
        <f>(172+30+27)-M4*8</f>
        <v>197</v>
      </c>
      <c r="W4" s="138">
        <f t="shared" ref="W4:W11" si="2">M4*4</f>
        <v>16</v>
      </c>
      <c r="X4" s="2">
        <f>12+16</f>
        <v>28</v>
      </c>
      <c r="Y4" s="2">
        <f>16</f>
        <v>16</v>
      </c>
      <c r="Z4" s="2">
        <f>92</f>
        <v>92</v>
      </c>
      <c r="AA4" s="2"/>
      <c r="AB4" s="11">
        <f>5</f>
        <v>5</v>
      </c>
      <c r="AC4" s="75">
        <v>75685389</v>
      </c>
      <c r="AD4" s="83">
        <f t="shared" ref="AD4:AD11" si="3">AC4*127/1000</f>
        <v>9612044.4030000009</v>
      </c>
      <c r="AE4" s="88">
        <f>N4*Провиант!$B$12+База!O4*Провиант!$C$12</f>
        <v>1654199</v>
      </c>
      <c r="AF4" s="23"/>
      <c r="AG4" s="33">
        <v>0.4</v>
      </c>
      <c r="AH4" s="33">
        <v>0.25</v>
      </c>
      <c r="AI4" s="33">
        <v>0.25</v>
      </c>
      <c r="AJ4" s="33">
        <v>0.1</v>
      </c>
      <c r="AK4" s="33"/>
      <c r="AL4" s="33"/>
      <c r="AM4" s="33"/>
      <c r="AN4" s="33"/>
      <c r="AO4" s="33"/>
      <c r="AP4" s="37"/>
      <c r="AQ4" s="32">
        <f t="shared" ref="AQ4:AQ11" si="4">1-SUM(AG4:AP4)</f>
        <v>0</v>
      </c>
    </row>
    <row r="5" spans="1:43" s="5" customFormat="1" ht="21" customHeight="1" x14ac:dyDescent="0.25">
      <c r="A5" s="42" t="s">
        <v>4</v>
      </c>
      <c r="B5" s="4" t="s">
        <v>19</v>
      </c>
      <c r="C5" s="4">
        <v>6</v>
      </c>
      <c r="D5" s="4">
        <v>2</v>
      </c>
      <c r="E5" s="6">
        <v>2</v>
      </c>
      <c r="F5" s="27">
        <f t="shared" si="0"/>
        <v>10</v>
      </c>
      <c r="G5" s="24"/>
      <c r="H5" s="6"/>
      <c r="I5" s="8">
        <v>15</v>
      </c>
      <c r="J5" s="4">
        <v>7</v>
      </c>
      <c r="K5" s="9">
        <v>12</v>
      </c>
      <c r="L5" s="111">
        <f t="shared" si="1"/>
        <v>34</v>
      </c>
      <c r="M5" s="9">
        <v>5</v>
      </c>
      <c r="N5" s="8">
        <f>Провиант!B5</f>
        <v>8</v>
      </c>
      <c r="O5" s="4">
        <f>Провиант!C5</f>
        <v>8</v>
      </c>
      <c r="P5" s="6">
        <f>Провиант!D5</f>
        <v>2</v>
      </c>
      <c r="Q5" s="8">
        <f>Энергия!B5</f>
        <v>2</v>
      </c>
      <c r="R5" s="4">
        <f>Энергия!C5</f>
        <v>1</v>
      </c>
      <c r="S5" s="4">
        <f>Энергия!V5</f>
        <v>258</v>
      </c>
      <c r="T5" s="4">
        <f>Энергия!W5</f>
        <v>270</v>
      </c>
      <c r="U5" s="9">
        <f>Энергия!X5</f>
        <v>12</v>
      </c>
      <c r="V5" s="24">
        <f>20+203+108-5-M5*8</f>
        <v>286</v>
      </c>
      <c r="W5" s="22">
        <f t="shared" si="2"/>
        <v>20</v>
      </c>
      <c r="X5" s="4">
        <f>40</f>
        <v>40</v>
      </c>
      <c r="Y5" s="4">
        <f>189</f>
        <v>189</v>
      </c>
      <c r="Z5" s="4">
        <f>15+28+39</f>
        <v>82</v>
      </c>
      <c r="AA5" s="4">
        <f>342+150</f>
        <v>492</v>
      </c>
      <c r="AB5" s="9">
        <f>12+320</f>
        <v>332</v>
      </c>
      <c r="AC5" s="76">
        <v>65982200</v>
      </c>
      <c r="AD5" s="85">
        <f t="shared" si="3"/>
        <v>8379739.4000000004</v>
      </c>
      <c r="AE5" s="84">
        <f>N5*Провиант!$B$12+База!O5*Провиант!$C$12</f>
        <v>2523359.2000000002</v>
      </c>
      <c r="AF5" s="24"/>
      <c r="AG5" s="34"/>
      <c r="AH5" s="34"/>
      <c r="AI5" s="34"/>
      <c r="AJ5" s="34"/>
      <c r="AK5" s="34">
        <v>0.1</v>
      </c>
      <c r="AL5" s="34">
        <v>0.19</v>
      </c>
      <c r="AM5" s="34">
        <v>0.12</v>
      </c>
      <c r="AN5" s="34">
        <v>0.08</v>
      </c>
      <c r="AO5" s="34">
        <v>0.47</v>
      </c>
      <c r="AP5" s="38">
        <v>0.04</v>
      </c>
      <c r="AQ5" s="32">
        <f t="shared" si="4"/>
        <v>0</v>
      </c>
    </row>
    <row r="6" spans="1:43" s="3" customFormat="1" ht="21" customHeight="1" x14ac:dyDescent="0.25">
      <c r="A6" s="41" t="s">
        <v>1</v>
      </c>
      <c r="B6" s="2" t="s">
        <v>20</v>
      </c>
      <c r="C6" s="2">
        <v>22</v>
      </c>
      <c r="D6" s="2">
        <v>4</v>
      </c>
      <c r="E6" s="7"/>
      <c r="F6" s="28">
        <f t="shared" si="0"/>
        <v>26</v>
      </c>
      <c r="G6" s="23"/>
      <c r="H6" s="7"/>
      <c r="I6" s="10">
        <v>12</v>
      </c>
      <c r="J6" s="2">
        <v>9</v>
      </c>
      <c r="K6" s="11">
        <v>3</v>
      </c>
      <c r="L6" s="112">
        <f t="shared" si="1"/>
        <v>24</v>
      </c>
      <c r="M6" s="11">
        <v>2</v>
      </c>
      <c r="N6" s="10">
        <f>Провиант!B6</f>
        <v>5</v>
      </c>
      <c r="O6" s="2">
        <f>Провиант!C6</f>
        <v>20</v>
      </c>
      <c r="P6" s="7">
        <f>Провиант!D6</f>
        <v>0</v>
      </c>
      <c r="Q6" s="10">
        <f>Энергия!B6</f>
        <v>3</v>
      </c>
      <c r="R6" s="2">
        <f>Энергия!C6</f>
        <v>0</v>
      </c>
      <c r="S6" s="2">
        <f>Энергия!V6</f>
        <v>180.25</v>
      </c>
      <c r="T6" s="2">
        <f>Энергия!W6</f>
        <v>180</v>
      </c>
      <c r="U6" s="11">
        <f>Энергия!X6</f>
        <v>-0.25</v>
      </c>
      <c r="V6" s="23">
        <f>70+19+10-M6*8</f>
        <v>83</v>
      </c>
      <c r="W6" s="138">
        <f t="shared" si="2"/>
        <v>8</v>
      </c>
      <c r="X6" s="2">
        <f>10+25</f>
        <v>35</v>
      </c>
      <c r="Y6" s="2">
        <f>24</f>
        <v>24</v>
      </c>
      <c r="Z6" s="2">
        <f>50</f>
        <v>50</v>
      </c>
      <c r="AA6" s="2"/>
      <c r="AB6" s="11">
        <f>80</f>
        <v>80</v>
      </c>
      <c r="AC6" s="75">
        <f>119352255+3161910</f>
        <v>122514165</v>
      </c>
      <c r="AD6" s="83">
        <f t="shared" si="3"/>
        <v>15559298.955</v>
      </c>
      <c r="AE6" s="88">
        <f>N6*Провиант!$B$12+База!O6*Провиант!$C$12</f>
        <v>1808398</v>
      </c>
      <c r="AF6" s="23"/>
      <c r="AG6" s="33"/>
      <c r="AH6" s="33"/>
      <c r="AI6" s="33">
        <v>0.13</v>
      </c>
      <c r="AJ6" s="33"/>
      <c r="AK6" s="33"/>
      <c r="AL6" s="33"/>
      <c r="AM6" s="33"/>
      <c r="AN6" s="33">
        <v>0.2</v>
      </c>
      <c r="AO6" s="33">
        <v>0.52</v>
      </c>
      <c r="AP6" s="37">
        <v>0.15</v>
      </c>
      <c r="AQ6" s="32">
        <f t="shared" si="4"/>
        <v>0</v>
      </c>
    </row>
    <row r="7" spans="1:43" s="5" customFormat="1" ht="30" x14ac:dyDescent="0.25">
      <c r="A7" s="42" t="s">
        <v>7</v>
      </c>
      <c r="B7" s="4" t="s">
        <v>21</v>
      </c>
      <c r="C7" s="4">
        <v>19</v>
      </c>
      <c r="D7" s="4">
        <v>4</v>
      </c>
      <c r="E7" s="6">
        <v>5</v>
      </c>
      <c r="F7" s="27">
        <f t="shared" si="0"/>
        <v>28</v>
      </c>
      <c r="G7" s="24"/>
      <c r="H7" s="6"/>
      <c r="I7" s="8">
        <v>23</v>
      </c>
      <c r="J7" s="4">
        <v>12</v>
      </c>
      <c r="K7" s="9">
        <v>9</v>
      </c>
      <c r="L7" s="111">
        <f t="shared" si="1"/>
        <v>44</v>
      </c>
      <c r="M7" s="9">
        <v>5</v>
      </c>
      <c r="N7" s="8">
        <f>Провиант!B7</f>
        <v>10</v>
      </c>
      <c r="O7" s="4">
        <f>Провиант!C7</f>
        <v>15</v>
      </c>
      <c r="P7" s="6">
        <f>Провиант!D7</f>
        <v>5</v>
      </c>
      <c r="Q7" s="8">
        <f>Энергия!B7</f>
        <v>3</v>
      </c>
      <c r="R7" s="4">
        <f>Энергия!C7</f>
        <v>1</v>
      </c>
      <c r="S7" s="4">
        <f>Энергия!V7</f>
        <v>324</v>
      </c>
      <c r="T7" s="4">
        <f>Энергия!W7</f>
        <v>330</v>
      </c>
      <c r="U7" s="9">
        <f>Энергия!X7</f>
        <v>6</v>
      </c>
      <c r="V7" s="24">
        <f>21+50+209-M7*8</f>
        <v>240</v>
      </c>
      <c r="W7" s="22">
        <f t="shared" si="2"/>
        <v>20</v>
      </c>
      <c r="X7" s="4"/>
      <c r="Y7" s="4">
        <f>128</f>
        <v>128</v>
      </c>
      <c r="Z7" s="4">
        <f>204+19</f>
        <v>223</v>
      </c>
      <c r="AA7" s="4"/>
      <c r="AB7" s="9">
        <f>7+5+12</f>
        <v>24</v>
      </c>
      <c r="AC7" s="76">
        <v>79419206</v>
      </c>
      <c r="AD7" s="85">
        <f t="shared" si="3"/>
        <v>10086239.162</v>
      </c>
      <c r="AE7" s="84">
        <f>N7*Провиант!$B$12+База!O7*Провиант!$C$12</f>
        <v>3231298.5</v>
      </c>
      <c r="AF7" s="24"/>
      <c r="AG7" s="34"/>
      <c r="AH7" s="34"/>
      <c r="AI7" s="34"/>
      <c r="AJ7" s="34"/>
      <c r="AK7" s="34">
        <v>0.1</v>
      </c>
      <c r="AL7" s="34">
        <v>0.15</v>
      </c>
      <c r="AM7" s="34">
        <v>0.75</v>
      </c>
      <c r="AN7" s="34"/>
      <c r="AO7" s="34"/>
      <c r="AP7" s="38"/>
      <c r="AQ7" s="32">
        <f t="shared" si="4"/>
        <v>0</v>
      </c>
    </row>
    <row r="8" spans="1:43" s="3" customFormat="1" ht="21" customHeight="1" x14ac:dyDescent="0.25">
      <c r="A8" s="41" t="s">
        <v>2</v>
      </c>
      <c r="B8" s="2" t="s">
        <v>22</v>
      </c>
      <c r="C8" s="2">
        <v>24</v>
      </c>
      <c r="D8" s="2">
        <v>7</v>
      </c>
      <c r="E8" s="7">
        <v>13</v>
      </c>
      <c r="F8" s="28">
        <f t="shared" si="0"/>
        <v>44</v>
      </c>
      <c r="G8" s="23"/>
      <c r="H8" s="7"/>
      <c r="I8" s="10">
        <v>20</v>
      </c>
      <c r="J8" s="2">
        <v>14</v>
      </c>
      <c r="K8" s="11">
        <v>7</v>
      </c>
      <c r="L8" s="112">
        <f t="shared" si="1"/>
        <v>41</v>
      </c>
      <c r="M8" s="11">
        <v>6</v>
      </c>
      <c r="N8" s="10">
        <f>Провиант!B8</f>
        <v>6</v>
      </c>
      <c r="O8" s="2">
        <f>Провиант!C8</f>
        <v>23</v>
      </c>
      <c r="P8" s="7">
        <f>Провиант!D8</f>
        <v>3</v>
      </c>
      <c r="Q8" s="10">
        <f>Энергия!B8</f>
        <v>1</v>
      </c>
      <c r="R8" s="2">
        <f>Энергия!C8</f>
        <v>2</v>
      </c>
      <c r="S8" s="2">
        <f>Энергия!V8</f>
        <v>306.5</v>
      </c>
      <c r="T8" s="2">
        <f>Энергия!W8</f>
        <v>360</v>
      </c>
      <c r="U8" s="11">
        <f>Энергия!X8</f>
        <v>53.5</v>
      </c>
      <c r="V8" s="23">
        <f>50+125-M8*8</f>
        <v>127</v>
      </c>
      <c r="W8" s="138">
        <f t="shared" si="2"/>
        <v>24</v>
      </c>
      <c r="X8" s="2">
        <f>12+35</f>
        <v>47</v>
      </c>
      <c r="Y8" s="2">
        <f>19+44+77</f>
        <v>140</v>
      </c>
      <c r="Z8" s="2">
        <f>44</f>
        <v>44</v>
      </c>
      <c r="AA8" s="2"/>
      <c r="AB8" s="11">
        <v>5</v>
      </c>
      <c r="AC8" s="75">
        <v>63388546</v>
      </c>
      <c r="AD8" s="83">
        <f t="shared" si="3"/>
        <v>8050345.3420000002</v>
      </c>
      <c r="AE8" s="88">
        <f>N8*Провиант!$B$12+База!O8*Провиант!$C$12</f>
        <v>2154657.7000000002</v>
      </c>
      <c r="AF8" s="23"/>
      <c r="AG8" s="33"/>
      <c r="AH8" s="33"/>
      <c r="AI8" s="33">
        <v>0.11</v>
      </c>
      <c r="AJ8" s="33">
        <v>0.4</v>
      </c>
      <c r="AK8" s="33">
        <v>0.17</v>
      </c>
      <c r="AL8" s="33">
        <v>7.0000000000000007E-2</v>
      </c>
      <c r="AM8" s="33">
        <v>0.15</v>
      </c>
      <c r="AN8" s="33">
        <v>0.1</v>
      </c>
      <c r="AO8" s="33"/>
      <c r="AP8" s="37"/>
      <c r="AQ8" s="32">
        <f t="shared" si="4"/>
        <v>0</v>
      </c>
    </row>
    <row r="9" spans="1:43" s="5" customFormat="1" ht="21" customHeight="1" x14ac:dyDescent="0.25">
      <c r="A9" s="42" t="s">
        <v>6</v>
      </c>
      <c r="B9" s="4" t="s">
        <v>23</v>
      </c>
      <c r="C9" s="4">
        <v>9</v>
      </c>
      <c r="D9" s="4">
        <v>3</v>
      </c>
      <c r="E9" s="6"/>
      <c r="F9" s="27">
        <f t="shared" si="0"/>
        <v>12</v>
      </c>
      <c r="G9" s="24"/>
      <c r="H9" s="6"/>
      <c r="I9" s="8">
        <v>6</v>
      </c>
      <c r="J9" s="4">
        <v>6</v>
      </c>
      <c r="K9" s="9">
        <v>0</v>
      </c>
      <c r="L9" s="111">
        <f t="shared" si="1"/>
        <v>12</v>
      </c>
      <c r="M9" s="9">
        <v>1</v>
      </c>
      <c r="N9" s="8">
        <f>Провиант!B9</f>
        <v>4</v>
      </c>
      <c r="O9" s="4">
        <f>Провиант!C9</f>
        <v>4</v>
      </c>
      <c r="P9" s="6">
        <f>Провиант!D9</f>
        <v>0</v>
      </c>
      <c r="Q9" s="8">
        <f>Энергия!B9</f>
        <v>2</v>
      </c>
      <c r="R9" s="4">
        <f>Энергия!C9</f>
        <v>0</v>
      </c>
      <c r="S9" s="4">
        <f>Энергия!V9</f>
        <v>82.5</v>
      </c>
      <c r="T9" s="4">
        <f>Энергия!W9</f>
        <v>120</v>
      </c>
      <c r="U9" s="9">
        <f>Энергия!X9</f>
        <v>37.5</v>
      </c>
      <c r="V9" s="24">
        <f>30-M9*8</f>
        <v>22</v>
      </c>
      <c r="W9" s="22">
        <f t="shared" si="2"/>
        <v>4</v>
      </c>
      <c r="X9" s="4"/>
      <c r="Y9" s="4">
        <f>77</f>
        <v>77</v>
      </c>
      <c r="Z9" s="4">
        <f>10+3</f>
        <v>13</v>
      </c>
      <c r="AA9" s="4"/>
      <c r="AB9" s="9">
        <v>8</v>
      </c>
      <c r="AC9" s="76">
        <v>22382937</v>
      </c>
      <c r="AD9" s="85">
        <f t="shared" si="3"/>
        <v>2842632.9989999998</v>
      </c>
      <c r="AE9" s="84">
        <f>N9*Провиант!$B$12+База!O9*Провиант!$C$12</f>
        <v>1261679.6000000001</v>
      </c>
      <c r="AF9" s="24"/>
      <c r="AG9" s="34"/>
      <c r="AH9" s="34"/>
      <c r="AI9" s="34"/>
      <c r="AJ9" s="34">
        <v>0.08</v>
      </c>
      <c r="AK9" s="34">
        <v>0.13</v>
      </c>
      <c r="AL9" s="34">
        <v>0.05</v>
      </c>
      <c r="AM9" s="34">
        <v>0.22</v>
      </c>
      <c r="AN9" s="34">
        <v>0.42</v>
      </c>
      <c r="AO9" s="34">
        <v>0.1</v>
      </c>
      <c r="AP9" s="38"/>
      <c r="AQ9" s="32">
        <f t="shared" si="4"/>
        <v>0</v>
      </c>
    </row>
    <row r="10" spans="1:43" s="3" customFormat="1" ht="21" customHeight="1" x14ac:dyDescent="0.25">
      <c r="A10" s="41" t="s">
        <v>8</v>
      </c>
      <c r="B10" s="2" t="s">
        <v>24</v>
      </c>
      <c r="C10" s="2">
        <v>9</v>
      </c>
      <c r="D10" s="2"/>
      <c r="E10" s="7"/>
      <c r="F10" s="28">
        <f t="shared" si="0"/>
        <v>9</v>
      </c>
      <c r="G10" s="23"/>
      <c r="H10" s="7"/>
      <c r="I10" s="10">
        <v>3</v>
      </c>
      <c r="J10" s="2">
        <v>2</v>
      </c>
      <c r="K10" s="11">
        <v>1</v>
      </c>
      <c r="L10" s="112">
        <f t="shared" si="1"/>
        <v>6</v>
      </c>
      <c r="M10" s="11"/>
      <c r="N10" s="10">
        <f>Провиант!B10</f>
        <v>3</v>
      </c>
      <c r="O10" s="2">
        <f>Провиант!C10</f>
        <v>7</v>
      </c>
      <c r="P10" s="7">
        <f>Провиант!D10</f>
        <v>1</v>
      </c>
      <c r="Q10" s="10">
        <f>Энергия!B10</f>
        <v>1</v>
      </c>
      <c r="R10" s="2">
        <f>Энергия!C10</f>
        <v>0</v>
      </c>
      <c r="S10" s="2">
        <f>Энергия!V10</f>
        <v>51.25</v>
      </c>
      <c r="T10" s="2">
        <f>Энергия!W10</f>
        <v>60</v>
      </c>
      <c r="U10" s="11">
        <f>Энергия!X10</f>
        <v>8.75</v>
      </c>
      <c r="V10" s="23">
        <v>83</v>
      </c>
      <c r="W10" s="138">
        <f t="shared" si="2"/>
        <v>0</v>
      </c>
      <c r="X10" s="2">
        <v>10</v>
      </c>
      <c r="Y10" s="2">
        <v>35</v>
      </c>
      <c r="Z10" s="2"/>
      <c r="AA10" s="2">
        <v>112</v>
      </c>
      <c r="AB10" s="11"/>
      <c r="AC10" s="75">
        <v>20541063</v>
      </c>
      <c r="AD10" s="83">
        <f t="shared" si="3"/>
        <v>2608715.0010000002</v>
      </c>
      <c r="AE10" s="88">
        <f>N10*Провиант!$B$12+База!O10*Провиант!$C$12</f>
        <v>1007939.3</v>
      </c>
      <c r="AF10" s="23"/>
      <c r="AG10" s="33"/>
      <c r="AH10" s="33"/>
      <c r="AI10" s="33"/>
      <c r="AJ10" s="33"/>
      <c r="AK10" s="33"/>
      <c r="AL10" s="33"/>
      <c r="AM10" s="33"/>
      <c r="AN10" s="33"/>
      <c r="AO10" s="33"/>
      <c r="AP10" s="37"/>
      <c r="AQ10" s="32">
        <f t="shared" si="4"/>
        <v>1</v>
      </c>
    </row>
    <row r="11" spans="1:43" s="5" customFormat="1" ht="21" customHeight="1" thickBot="1" x14ac:dyDescent="0.3">
      <c r="A11" s="43" t="s">
        <v>3</v>
      </c>
      <c r="B11" s="13" t="s">
        <v>25</v>
      </c>
      <c r="C11" s="13">
        <v>9</v>
      </c>
      <c r="D11" s="13"/>
      <c r="E11" s="21"/>
      <c r="F11" s="29">
        <f t="shared" si="0"/>
        <v>9</v>
      </c>
      <c r="G11" s="25"/>
      <c r="H11" s="21"/>
      <c r="I11" s="12">
        <v>3</v>
      </c>
      <c r="J11" s="13">
        <v>2</v>
      </c>
      <c r="K11" s="14">
        <v>0</v>
      </c>
      <c r="L11" s="113">
        <f t="shared" si="1"/>
        <v>5</v>
      </c>
      <c r="M11" s="14"/>
      <c r="N11" s="12">
        <f>Провиант!B11</f>
        <v>15</v>
      </c>
      <c r="O11" s="13">
        <f>Провиант!C11</f>
        <v>20</v>
      </c>
      <c r="P11" s="21">
        <f>Провиант!D11</f>
        <v>5</v>
      </c>
      <c r="Q11" s="12">
        <f>Энергия!B11</f>
        <v>1</v>
      </c>
      <c r="R11" s="13">
        <f>Энергия!C11</f>
        <v>0</v>
      </c>
      <c r="S11" s="13">
        <f>Энергия!V11</f>
        <v>55.25</v>
      </c>
      <c r="T11" s="13">
        <f>Энергия!W11</f>
        <v>60</v>
      </c>
      <c r="U11" s="14">
        <f>Энергия!X11</f>
        <v>4.75</v>
      </c>
      <c r="V11" s="25">
        <v>105</v>
      </c>
      <c r="W11" s="25">
        <f t="shared" si="2"/>
        <v>0</v>
      </c>
      <c r="X11" s="13"/>
      <c r="Y11" s="13"/>
      <c r="Z11" s="13">
        <f>18</f>
        <v>18</v>
      </c>
      <c r="AA11" s="13"/>
      <c r="AB11" s="14"/>
      <c r="AC11" s="77">
        <v>17932651</v>
      </c>
      <c r="AD11" s="86">
        <f t="shared" si="3"/>
        <v>2277446.6770000001</v>
      </c>
      <c r="AE11" s="87">
        <f>N11*Провиант!$B$12+База!O11*Провиант!$C$12</f>
        <v>4808398</v>
      </c>
      <c r="AF11" s="25"/>
      <c r="AG11" s="35"/>
      <c r="AH11" s="35"/>
      <c r="AI11" s="35"/>
      <c r="AJ11" s="35"/>
      <c r="AK11" s="35"/>
      <c r="AL11" s="35"/>
      <c r="AM11" s="35">
        <v>0.7</v>
      </c>
      <c r="AN11" s="35">
        <v>0.05</v>
      </c>
      <c r="AO11" s="35">
        <v>0.1</v>
      </c>
      <c r="AP11" s="39">
        <v>0.15</v>
      </c>
      <c r="AQ11" s="32">
        <f t="shared" si="4"/>
        <v>0</v>
      </c>
    </row>
    <row r="12" spans="1:43" x14ac:dyDescent="0.25">
      <c r="AC12" s="45"/>
      <c r="AD12" s="45">
        <f>SUM(AD3:AD11)</f>
        <v>61809952.072000004</v>
      </c>
      <c r="AE12" s="45"/>
    </row>
    <row r="13" spans="1:43" x14ac:dyDescent="0.25">
      <c r="AC13" s="45"/>
    </row>
    <row r="21" spans="12:23" x14ac:dyDescent="0.25">
      <c r="L21">
        <f>5000000/350</f>
        <v>14285.714285714286</v>
      </c>
      <c r="N21" s="50">
        <f>L21*1500*2.5/2000</f>
        <v>26785.714285714286</v>
      </c>
      <c r="O21" s="50"/>
      <c r="P21" s="50"/>
      <c r="Q21" s="50"/>
      <c r="R21" s="50"/>
      <c r="S21" s="50"/>
      <c r="T21" s="50"/>
      <c r="U21" s="50"/>
      <c r="V21" s="45">
        <f>N21*12</f>
        <v>321428.57142857142</v>
      </c>
      <c r="W21" s="45"/>
    </row>
  </sheetData>
  <sortState xmlns:xlrd2="http://schemas.microsoft.com/office/spreadsheetml/2017/richdata2" ref="A3:K11">
    <sortCondition ref="A3:A11"/>
  </sortState>
  <mergeCells count="11">
    <mergeCell ref="A1:A2"/>
    <mergeCell ref="G1:G2"/>
    <mergeCell ref="H1:H2"/>
    <mergeCell ref="AF1:AQ1"/>
    <mergeCell ref="C1:F1"/>
    <mergeCell ref="V1:AB1"/>
    <mergeCell ref="B1:B2"/>
    <mergeCell ref="AC1:AC2"/>
    <mergeCell ref="AD1:AE1"/>
    <mergeCell ref="I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7" customWidth="1"/>
    <col min="19" max="19" width="14" customWidth="1"/>
    <col min="20" max="20" width="14.140625" customWidth="1"/>
    <col min="21" max="21" width="16.7109375" customWidth="1"/>
    <col min="25" max="25" width="11.42578125" style="57" bestFit="1" customWidth="1"/>
    <col min="26" max="27" width="9.140625" style="57"/>
  </cols>
  <sheetData>
    <row r="1" spans="1:24" ht="15.75" thickBot="1" x14ac:dyDescent="0.3">
      <c r="A1" s="177" t="s">
        <v>9</v>
      </c>
      <c r="B1" s="175" t="s">
        <v>47</v>
      </c>
      <c r="C1" s="175" t="s">
        <v>90</v>
      </c>
      <c r="D1" s="175" t="s">
        <v>57</v>
      </c>
      <c r="E1" s="167" t="s">
        <v>43</v>
      </c>
      <c r="F1" s="169" t="s">
        <v>93</v>
      </c>
      <c r="G1" s="174"/>
      <c r="H1" s="174"/>
      <c r="I1" s="170"/>
    </row>
    <row r="2" spans="1:24" ht="39" thickBot="1" x14ac:dyDescent="0.3">
      <c r="A2" s="178"/>
      <c r="B2" s="176"/>
      <c r="C2" s="176"/>
      <c r="D2" s="176"/>
      <c r="E2" s="168"/>
      <c r="F2" s="62" t="s">
        <v>61</v>
      </c>
      <c r="G2" s="63" t="s">
        <v>49</v>
      </c>
      <c r="H2" s="108" t="s">
        <v>45</v>
      </c>
      <c r="I2" s="108" t="s">
        <v>48</v>
      </c>
      <c r="L2" s="78" t="s">
        <v>56</v>
      </c>
      <c r="M2" s="78" t="s">
        <v>57</v>
      </c>
      <c r="N2" s="78" t="s">
        <v>61</v>
      </c>
      <c r="O2" s="78" t="s">
        <v>49</v>
      </c>
      <c r="P2" s="78" t="s">
        <v>45</v>
      </c>
      <c r="Q2" s="78" t="s">
        <v>48</v>
      </c>
      <c r="R2" s="78" t="s">
        <v>60</v>
      </c>
      <c r="S2" s="78" t="s">
        <v>100</v>
      </c>
    </row>
    <row r="3" spans="1:24" ht="15.75" customHeight="1" x14ac:dyDescent="0.25">
      <c r="A3" s="67" t="s">
        <v>5</v>
      </c>
      <c r="B3" s="68">
        <v>3</v>
      </c>
      <c r="C3" s="68">
        <v>3</v>
      </c>
      <c r="D3" s="68"/>
      <c r="E3" s="54">
        <f>База!AC3</f>
        <v>18846379</v>
      </c>
      <c r="F3" s="54">
        <f>(H3+I3)*2</f>
        <v>1892519.4</v>
      </c>
      <c r="G3" s="104">
        <f t="shared" ref="G3:G11" si="0">E3*127/12000</f>
        <v>199457.51108333335</v>
      </c>
      <c r="H3" s="54">
        <f>B3*$B$12</f>
        <v>900000</v>
      </c>
      <c r="I3" s="54">
        <f>C3*$C$12</f>
        <v>46259.7</v>
      </c>
      <c r="J3" s="110">
        <f>H3+I3*12</f>
        <v>1455116.4</v>
      </c>
      <c r="K3" s="109">
        <f>G3*12</f>
        <v>2393490.1330000004</v>
      </c>
      <c r="L3" s="79" t="s">
        <v>5</v>
      </c>
      <c r="M3" s="80">
        <f>SUMIF($A$3:$A$11,$L$3,D$3:D$11)</f>
        <v>0</v>
      </c>
      <c r="N3" s="80">
        <f>SUMIF($A$3:$A$11,$L$3,F$3:F$11)</f>
        <v>1892519.4</v>
      </c>
      <c r="O3" s="80">
        <f>SUMIF($A$3:$A$11,$L$3,G$3:G$11)</f>
        <v>199457.51108333335</v>
      </c>
      <c r="P3" s="80">
        <f>SUMIF($A$3:$A$11,$L$3,H$3:H$11)</f>
        <v>900000</v>
      </c>
      <c r="Q3" s="80">
        <f>SUMIF($A$3:$A$11,$L$3,I$3:I$11)</f>
        <v>46259.7</v>
      </c>
      <c r="R3" s="126">
        <v>0.7</v>
      </c>
      <c r="S3" s="126">
        <f>IF(SUMIF($A$3:$A$11,$L$3,Энергия!Y3:Y11)&lt;1,(1-SUMIF($A$3:$A$11,$L$3,Энергия!Y3:Y11))*-0.5,0)</f>
        <v>-0.18992248062015504</v>
      </c>
    </row>
    <row r="4" spans="1:24" x14ac:dyDescent="0.25">
      <c r="A4" s="64" t="s">
        <v>0</v>
      </c>
      <c r="B4" s="69">
        <v>5</v>
      </c>
      <c r="C4" s="69">
        <v>10</v>
      </c>
      <c r="D4" s="69"/>
      <c r="E4" s="48">
        <f>База!AC4</f>
        <v>75685389</v>
      </c>
      <c r="F4" s="48">
        <f>(H4+I4)*2</f>
        <v>3308398</v>
      </c>
      <c r="G4" s="105">
        <f t="shared" si="0"/>
        <v>801003.70024999999</v>
      </c>
      <c r="H4" s="48">
        <f t="shared" ref="H4:H11" si="1">B4*$B$12</f>
        <v>1500000</v>
      </c>
      <c r="I4" s="48">
        <f t="shared" ref="I4:I11" si="2">C4*$C$12</f>
        <v>154199</v>
      </c>
      <c r="J4" s="110">
        <f t="shared" ref="J4:J11" si="3">H4+I4*12</f>
        <v>3350388</v>
      </c>
      <c r="K4" s="109">
        <f>G4*12</f>
        <v>9612044.4030000009</v>
      </c>
    </row>
    <row r="5" spans="1:24" x14ac:dyDescent="0.25">
      <c r="A5" s="65" t="s">
        <v>4</v>
      </c>
      <c r="B5" s="70">
        <v>8</v>
      </c>
      <c r="C5" s="70">
        <v>8</v>
      </c>
      <c r="D5" s="70">
        <v>2</v>
      </c>
      <c r="E5" s="46">
        <f>База!AC5</f>
        <v>65982200</v>
      </c>
      <c r="F5" s="46">
        <f>(H5+I5)*2</f>
        <v>5046718.4000000004</v>
      </c>
      <c r="G5" s="106">
        <f t="shared" si="0"/>
        <v>698311.6166666667</v>
      </c>
      <c r="H5" s="46">
        <f t="shared" si="1"/>
        <v>2400000</v>
      </c>
      <c r="I5" s="46">
        <f t="shared" si="2"/>
        <v>123359.2</v>
      </c>
      <c r="J5" s="110">
        <f t="shared" si="3"/>
        <v>3880310.4</v>
      </c>
      <c r="K5" s="109">
        <f t="shared" ref="K5:K11" si="4">G5*12</f>
        <v>8379739.4000000004</v>
      </c>
      <c r="Q5" s="133">
        <f>Q3+Q3*S3</f>
        <v>37473.943023255808</v>
      </c>
      <c r="S5" s="132"/>
    </row>
    <row r="6" spans="1:24" x14ac:dyDescent="0.25">
      <c r="A6" s="64" t="s">
        <v>1</v>
      </c>
      <c r="B6" s="69">
        <v>5</v>
      </c>
      <c r="C6" s="69">
        <v>20</v>
      </c>
      <c r="D6" s="69"/>
      <c r="E6" s="48">
        <f>База!AC6</f>
        <v>122514165</v>
      </c>
      <c r="F6" s="48">
        <f t="shared" ref="F6:F11" si="5">(H6+I6)*2</f>
        <v>3616796</v>
      </c>
      <c r="G6" s="105">
        <f t="shared" si="0"/>
        <v>1296608.2462500001</v>
      </c>
      <c r="H6" s="48">
        <f t="shared" si="1"/>
        <v>1500000</v>
      </c>
      <c r="I6" s="48">
        <f t="shared" si="2"/>
        <v>308398</v>
      </c>
      <c r="J6" s="110">
        <f t="shared" si="3"/>
        <v>5200776</v>
      </c>
      <c r="K6" s="109">
        <f t="shared" si="4"/>
        <v>15559298.955000002</v>
      </c>
    </row>
    <row r="7" spans="1:24" ht="30" x14ac:dyDescent="0.25">
      <c r="A7" s="65" t="s">
        <v>7</v>
      </c>
      <c r="B7" s="70">
        <v>10</v>
      </c>
      <c r="C7" s="70">
        <v>15</v>
      </c>
      <c r="D7" s="70">
        <v>5</v>
      </c>
      <c r="E7" s="46">
        <f>База!AC7</f>
        <v>79419206</v>
      </c>
      <c r="F7" s="46">
        <f t="shared" si="5"/>
        <v>6462597</v>
      </c>
      <c r="G7" s="106">
        <f t="shared" si="0"/>
        <v>840519.93016666663</v>
      </c>
      <c r="H7" s="46">
        <f t="shared" si="1"/>
        <v>3000000</v>
      </c>
      <c r="I7" s="46">
        <f t="shared" si="2"/>
        <v>231298.5</v>
      </c>
      <c r="J7" s="110">
        <f t="shared" si="3"/>
        <v>5775582</v>
      </c>
      <c r="K7" s="109">
        <f t="shared" si="4"/>
        <v>10086239.162</v>
      </c>
    </row>
    <row r="8" spans="1:24" x14ac:dyDescent="0.25">
      <c r="A8" s="64" t="s">
        <v>2</v>
      </c>
      <c r="B8" s="69">
        <v>6</v>
      </c>
      <c r="C8" s="69">
        <v>23</v>
      </c>
      <c r="D8" s="69">
        <v>3</v>
      </c>
      <c r="E8" s="48">
        <f>База!AC8</f>
        <v>63388546</v>
      </c>
      <c r="F8" s="48">
        <f t="shared" si="5"/>
        <v>4309315.4000000004</v>
      </c>
      <c r="G8" s="105">
        <f t="shared" si="0"/>
        <v>670862.11183333339</v>
      </c>
      <c r="H8" s="48">
        <f t="shared" si="1"/>
        <v>1800000</v>
      </c>
      <c r="I8" s="48">
        <f t="shared" si="2"/>
        <v>354657.7</v>
      </c>
      <c r="J8" s="110">
        <f t="shared" si="3"/>
        <v>6055892.4000000004</v>
      </c>
      <c r="K8" s="109">
        <f t="shared" si="4"/>
        <v>8050345.3420000002</v>
      </c>
    </row>
    <row r="9" spans="1:24" x14ac:dyDescent="0.25">
      <c r="A9" s="65" t="s">
        <v>6</v>
      </c>
      <c r="B9" s="70">
        <v>4</v>
      </c>
      <c r="C9" s="70">
        <v>4</v>
      </c>
      <c r="D9" s="70"/>
      <c r="E9" s="46">
        <f>База!AC9</f>
        <v>22382937</v>
      </c>
      <c r="F9" s="46">
        <f t="shared" si="5"/>
        <v>2523359.2000000002</v>
      </c>
      <c r="G9" s="106">
        <f t="shared" si="0"/>
        <v>236886.08325</v>
      </c>
      <c r="H9" s="46">
        <f t="shared" si="1"/>
        <v>1200000</v>
      </c>
      <c r="I9" s="46">
        <f t="shared" si="2"/>
        <v>61679.6</v>
      </c>
      <c r="J9" s="110">
        <f t="shared" si="3"/>
        <v>1940155.2</v>
      </c>
      <c r="K9" s="109">
        <f t="shared" si="4"/>
        <v>2842632.9989999998</v>
      </c>
    </row>
    <row r="10" spans="1:24" x14ac:dyDescent="0.25">
      <c r="A10" s="64" t="s">
        <v>8</v>
      </c>
      <c r="B10" s="69">
        <v>3</v>
      </c>
      <c r="C10" s="69">
        <v>7</v>
      </c>
      <c r="D10" s="69">
        <v>1</v>
      </c>
      <c r="E10" s="48">
        <f>База!AC10</f>
        <v>20541063</v>
      </c>
      <c r="F10" s="48">
        <f t="shared" si="5"/>
        <v>2015878.6</v>
      </c>
      <c r="G10" s="105">
        <f t="shared" si="0"/>
        <v>217392.91675</v>
      </c>
      <c r="H10" s="48">
        <f t="shared" si="1"/>
        <v>900000</v>
      </c>
      <c r="I10" s="48">
        <f t="shared" si="2"/>
        <v>107939.3</v>
      </c>
      <c r="J10" s="110">
        <f t="shared" si="3"/>
        <v>2195271.6</v>
      </c>
      <c r="K10" s="109">
        <f t="shared" si="4"/>
        <v>2608715.0010000002</v>
      </c>
    </row>
    <row r="11" spans="1:24" ht="15.75" thickBot="1" x14ac:dyDescent="0.3">
      <c r="A11" s="66" t="s">
        <v>3</v>
      </c>
      <c r="B11" s="71">
        <v>15</v>
      </c>
      <c r="C11" s="71">
        <v>20</v>
      </c>
      <c r="D11" s="71">
        <v>5</v>
      </c>
      <c r="E11" s="49">
        <f>База!AC11</f>
        <v>17932651</v>
      </c>
      <c r="F11" s="49">
        <f t="shared" si="5"/>
        <v>9616796</v>
      </c>
      <c r="G11" s="107">
        <f t="shared" si="0"/>
        <v>189787.22308333335</v>
      </c>
      <c r="H11" s="49">
        <f t="shared" si="1"/>
        <v>4500000</v>
      </c>
      <c r="I11" s="49">
        <f t="shared" si="2"/>
        <v>308398</v>
      </c>
      <c r="J11" s="110">
        <f t="shared" si="3"/>
        <v>8200776</v>
      </c>
      <c r="K11" s="109">
        <f t="shared" si="4"/>
        <v>2277446.6770000001</v>
      </c>
    </row>
    <row r="12" spans="1:24" x14ac:dyDescent="0.25">
      <c r="B12" s="103">
        <v>300000</v>
      </c>
      <c r="C12" s="103">
        <f>((26786+24000+52000)*0.15)+2</f>
        <v>15419.9</v>
      </c>
      <c r="D12" s="45"/>
      <c r="J12" s="45">
        <f>SUM(J3:J11)</f>
        <v>38054268</v>
      </c>
      <c r="K12" s="45">
        <f>SUM(K3:K11)</f>
        <v>61809952.072000004</v>
      </c>
    </row>
    <row r="13" spans="1:24" x14ac:dyDescent="0.25">
      <c r="C13" s="45">
        <f>C12*12</f>
        <v>185038.8</v>
      </c>
    </row>
    <row r="14" spans="1:24" x14ac:dyDescent="0.25">
      <c r="C14" s="45">
        <f>3855</f>
        <v>3855</v>
      </c>
      <c r="D14" s="45"/>
    </row>
    <row r="15" spans="1:24" ht="45" x14ac:dyDescent="0.25">
      <c r="B15" s="57" t="s">
        <v>51</v>
      </c>
      <c r="C15" s="57"/>
      <c r="D15" s="57"/>
      <c r="E15" s="59">
        <f>E3/1000</f>
        <v>18846.379000000001</v>
      </c>
      <c r="F15" s="57"/>
      <c r="G15" s="56" t="s">
        <v>50</v>
      </c>
      <c r="H15" s="56" t="s">
        <v>52</v>
      </c>
      <c r="I15" s="56" t="s">
        <v>58</v>
      </c>
      <c r="J15" s="56" t="s">
        <v>55</v>
      </c>
      <c r="K15" s="56" t="s">
        <v>53</v>
      </c>
      <c r="L15" s="56" t="s">
        <v>54</v>
      </c>
      <c r="R15" s="57" t="s">
        <v>97</v>
      </c>
      <c r="T15" s="56" t="s">
        <v>50</v>
      </c>
      <c r="U15" s="56" t="s">
        <v>52</v>
      </c>
      <c r="W15" s="57" t="s">
        <v>99</v>
      </c>
      <c r="X15" s="57" t="s">
        <v>98</v>
      </c>
    </row>
    <row r="16" spans="1:24" x14ac:dyDescent="0.25">
      <c r="A16" t="str">
        <f>IF(M16=0,"АВГУСТ","")</f>
        <v/>
      </c>
      <c r="B16" s="57">
        <v>1</v>
      </c>
      <c r="C16" s="57"/>
      <c r="D16" s="57"/>
      <c r="E16" s="59">
        <f>E15*127/48</f>
        <v>49864.377770833329</v>
      </c>
      <c r="F16" s="58"/>
      <c r="G16" s="59">
        <f>Q3+N3-O3</f>
        <v>1739321.5889166666</v>
      </c>
      <c r="H16" s="60">
        <f t="shared" ref="H16:H63" si="6">G16/$O$3</f>
        <v>8.720261169758496</v>
      </c>
      <c r="I16" s="74">
        <f>G16/$O$3*IF(SUM($R$3,0.01*$M$3)&gt;0.99,0.99,$R$3+0.01*$M$3)</f>
        <v>6.1041828188309468</v>
      </c>
      <c r="J16" s="57" t="str">
        <f ca="1">_xlfn.IFS(AND(K16&gt;0,K16&lt;34),"НЕУРОЖАЙ",AND(L16&gt;0,L16&lt;11),"РЕКОРД",NOT(M16=0),"",AND(K16&gt;33,L16&gt;10),"ОБЫЧНЫЙ")</f>
        <v/>
      </c>
      <c r="K16" s="57" t="str">
        <f ca="1">IF(M16=0,RANDBETWEEN(1,100),"")</f>
        <v/>
      </c>
      <c r="L16" t="str">
        <f ca="1">IF(AND(M16=0,K16&gt;33),RANDBETWEEN(1,100),"")</f>
        <v/>
      </c>
      <c r="M16" s="61">
        <f>MOD(B16,8)</f>
        <v>1</v>
      </c>
      <c r="R16" s="57">
        <v>1</v>
      </c>
      <c r="T16" s="59">
        <f>Q3/4+N3-O3/4</f>
        <v>1854219.9472291665</v>
      </c>
      <c r="U16" s="60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7">
        <v>2</v>
      </c>
      <c r="C17" s="57"/>
      <c r="D17" s="57"/>
      <c r="E17" s="59"/>
      <c r="F17" s="58"/>
      <c r="G17" s="59" cm="1">
        <f t="array" ref="G17">IF(G16&gt;0,G16*(IF(SUM($R$3,0.01*$M$3)&gt;0.99,0.99,$R$3+0.01*$M$3)),G16)+(($Q$3+$Q$3*S3)+IF(M17=0,$P$3*_xlfn.IFS(J17="НЕУРОЖАЙ",0.25,J17="ОБЫЧНЫЙ",1,J17="РЕКОРД",1.25,J17="",1),0))-$O$3</f>
        <v>1055541.544181589</v>
      </c>
      <c r="H17" s="60">
        <f t="shared" si="6"/>
        <v>5.2920621462110988</v>
      </c>
      <c r="I17" s="74">
        <f t="shared" ref="I17:I63" si="8">G17/$O$3*IF(SUM($R$3,0.01*$M$3)&gt;0.99,0.99,$R$3+0.01*$M$3)</f>
        <v>3.7044435023477691</v>
      </c>
      <c r="J17" s="57" t="str">
        <f t="shared" ref="J17:J62" ca="1" si="9">_xlfn.IFS(AND(K17&gt;0,K17&lt;34),"НЕУРОЖАЙ",AND(L17&gt;0,L17&lt;11),"РЕКОРД",NOT(M17=0),"",AND(K17&gt;33,L17&gt;10),"ОБЫЧНЫЙ")</f>
        <v/>
      </c>
      <c r="K17" s="57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61">
        <f t="shared" ref="M17:M63" si="12">MOD(B17,8)</f>
        <v>2</v>
      </c>
      <c r="R17" s="57">
        <v>2</v>
      </c>
      <c r="T17" s="59">
        <f>IF(AND(T16&gt;0,W17=0),T16*(IF(SUM($R$3,0.01*$M$3)&gt;0.99,0.99,$R$3+0.01*$M$3)),T16)+((($Q$3+$Q$3*$S$3)/4)+(IF(X17=0,$P$3*_xlfn.IFS(Y17="НЕУРОЖАЙ",0.25,Y17="ОБЫЧНЫЙ",1,Y17="РЕКОРД",1.25,Y17="",1),0)))-($O$3/4)</f>
        <v>1813724.0552141471</v>
      </c>
      <c r="U17" s="60">
        <f t="shared" ref="U17:U80" si="13">T17/$O$3</f>
        <v>9.0932853085506178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7">
        <v>3</v>
      </c>
      <c r="C18" s="57"/>
      <c r="D18" s="57"/>
      <c r="E18" s="58"/>
      <c r="F18" s="58"/>
      <c r="G18" s="59" cm="1">
        <f t="array" ref="G18">IF(G17&gt;0,G17*(IF(SUM($R$3,0.01*$M$3)&gt;0.99,0.99,$R$3+0.01*$M$3)),G17)+(($Q$3+$Q$3*S4)+IF(M18=0,$P$3*_xlfn.IFS(J18="НЕУРОЖАЙ",0.25,J18="ОБЫЧНЫЙ",1,J18="РЕКОРД",1.25,J18="",1),0))-$O$3</f>
        <v>585681.26984377881</v>
      </c>
      <c r="H18" s="60">
        <f t="shared" si="6"/>
        <v>2.9363710930849889</v>
      </c>
      <c r="I18" s="74">
        <f t="shared" si="8"/>
        <v>2.0554597651594921</v>
      </c>
      <c r="J18" s="57" t="str">
        <f t="shared" ca="1" si="9"/>
        <v/>
      </c>
      <c r="K18" s="57" t="str">
        <f t="shared" ca="1" si="10"/>
        <v/>
      </c>
      <c r="L18" t="str">
        <f t="shared" ca="1" si="11"/>
        <v/>
      </c>
      <c r="M18" s="61">
        <f t="shared" si="12"/>
        <v>3</v>
      </c>
      <c r="R18" s="57">
        <v>3</v>
      </c>
      <c r="T18" s="59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1773228.1631991277</v>
      </c>
      <c r="U18" s="60">
        <f t="shared" si="13"/>
        <v>8.8902551403956558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7">
        <v>4</v>
      </c>
      <c r="C19" s="57"/>
      <c r="D19" s="57"/>
      <c r="E19" s="58"/>
      <c r="F19" s="58"/>
      <c r="G19" s="59" cm="1">
        <f t="array" ref="G19">IF(G18&gt;0,G18*(IF(SUM($R$3,0.01*$M$3)&gt;0.99,0.99,$R$3+0.01*$M$3)),G18)+(($Q$3+$Q$3*S5)+IF(M19=0,$P$3*_xlfn.IFS(J19="НЕУРОЖАЙ",0.25,J19="ОБЫЧНЫЙ",1,J19="РЕКОРД",1.25,J19="",1),0))-$O$3</f>
        <v>256779.07780731178</v>
      </c>
      <c r="H19" s="60">
        <f t="shared" si="6"/>
        <v>1.2873873558967126</v>
      </c>
      <c r="I19" s="74">
        <f t="shared" si="8"/>
        <v>0.9011711491276988</v>
      </c>
      <c r="J19" s="57" t="str">
        <f t="shared" ca="1" si="9"/>
        <v/>
      </c>
      <c r="K19" s="57" t="str">
        <f t="shared" ca="1" si="10"/>
        <v/>
      </c>
      <c r="L19" t="str">
        <f t="shared" ca="1" si="11"/>
        <v/>
      </c>
      <c r="M19" s="61">
        <f t="shared" si="12"/>
        <v>4</v>
      </c>
      <c r="R19" s="57">
        <v>4</v>
      </c>
      <c r="T19" s="59">
        <f t="shared" si="16"/>
        <v>1200763.8222243697</v>
      </c>
      <c r="U19" s="60">
        <f t="shared" si="13"/>
        <v>6.0201484301219956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7">
        <v>5</v>
      </c>
      <c r="C20" s="57"/>
      <c r="D20" s="57"/>
      <c r="E20" s="58"/>
      <c r="F20" s="58"/>
      <c r="G20" s="59" cm="1">
        <f t="array" ref="G20">IF(G19&gt;0,G19*(IF(SUM($R$3,0.01*$M$3)&gt;0.99,0.99,$R$3+0.01*$M$3)),G19)+(($Q$3+$Q$3*S6)+IF(M20=0,$P$3*_xlfn.IFS(J20="НЕУРОЖАЙ",0.25,J20="ОБЫЧНЫЙ",1,J20="РЕКОРД",1.25,J20="",1),0))-$O$3</f>
        <v>26547.543381784868</v>
      </c>
      <c r="H20" s="60">
        <f t="shared" si="6"/>
        <v>0.13309873986491944</v>
      </c>
      <c r="I20" s="74">
        <f t="shared" si="8"/>
        <v>9.3169117905443605E-2</v>
      </c>
      <c r="J20" s="57" t="str">
        <f t="shared" ca="1" si="9"/>
        <v/>
      </c>
      <c r="K20" s="57" t="str">
        <f t="shared" ca="1" si="10"/>
        <v/>
      </c>
      <c r="L20" t="str">
        <f t="shared" ca="1" si="11"/>
        <v/>
      </c>
      <c r="M20" s="61">
        <f t="shared" si="12"/>
        <v>5</v>
      </c>
      <c r="R20" s="57">
        <v>5</v>
      </c>
      <c r="T20" s="59">
        <f t="shared" si="16"/>
        <v>1160267.9302093503</v>
      </c>
      <c r="U20" s="60">
        <f t="shared" si="13"/>
        <v>5.8171182619670327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7">
        <v>6</v>
      </c>
      <c r="C21" s="57"/>
      <c r="D21" s="57"/>
      <c r="E21" s="58"/>
      <c r="F21" s="58"/>
      <c r="G21" s="59" cm="1">
        <f t="array" ref="G21">IF(G20&gt;0,G20*(IF(SUM($R$3,0.01*$M$3)&gt;0.99,0.99,$R$3+0.01*$M$3)),G20)+(($Q$3+$Q$3*S7)+IF(M21=0,$P$3*_xlfn.IFS(J21="НЕУРОЖАЙ",0.25,J21="ОБЫЧНЫЙ",1,J21="РЕКОРД",1.25,J21="",1),0))-$O$3</f>
        <v>-134614.53071608394</v>
      </c>
      <c r="H21" s="60">
        <f t="shared" si="6"/>
        <v>-0.67490329135733573</v>
      </c>
      <c r="I21" s="74">
        <f t="shared" si="8"/>
        <v>-0.47243230395013497</v>
      </c>
      <c r="J21" s="57" t="str">
        <f t="shared" ca="1" si="9"/>
        <v/>
      </c>
      <c r="K21" s="57" t="str">
        <f t="shared" ca="1" si="10"/>
        <v/>
      </c>
      <c r="L21" t="str">
        <f t="shared" ca="1" si="11"/>
        <v/>
      </c>
      <c r="M21" s="61">
        <f t="shared" si="12"/>
        <v>6</v>
      </c>
      <c r="R21" s="57">
        <v>6</v>
      </c>
      <c r="T21" s="59">
        <f t="shared" si="16"/>
        <v>1119772.0381943309</v>
      </c>
      <c r="U21" s="60">
        <f t="shared" si="13"/>
        <v>5.6140880938120707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7">
        <v>7</v>
      </c>
      <c r="C22" s="57"/>
      <c r="D22" s="57"/>
      <c r="E22" s="58"/>
      <c r="F22" s="58"/>
      <c r="G22" s="59" cm="1">
        <f t="array" ref="G22">IF(G21&gt;0,G21*(IF(SUM($R$3,0.01*$M$3)&gt;0.99,0.99,$R$3+0.01*$M$3)),G21)+(($Q$3+$Q$3*S8)+IF(M22=0,$P$3*_xlfn.IFS(J22="НЕУРОЖАЙ",0.25,J22="ОБЫЧНЫЙ",1,J22="РЕКОРД",1.25,J22="",1),0))-$O$3</f>
        <v>-287812.34179941728</v>
      </c>
      <c r="H22" s="60">
        <f t="shared" si="6"/>
        <v>-1.4429757006201149</v>
      </c>
      <c r="I22" s="74">
        <f t="shared" si="8"/>
        <v>-1.0100829904340805</v>
      </c>
      <c r="J22" s="57" t="str">
        <f t="shared" ca="1" si="9"/>
        <v/>
      </c>
      <c r="K22" s="57" t="str">
        <f t="shared" ca="1" si="10"/>
        <v/>
      </c>
      <c r="L22" t="str">
        <f t="shared" ca="1" si="11"/>
        <v/>
      </c>
      <c r="M22" s="61">
        <f t="shared" si="12"/>
        <v>7</v>
      </c>
      <c r="R22" s="57">
        <v>7</v>
      </c>
      <c r="T22" s="59">
        <f t="shared" si="16"/>
        <v>1079276.1461793114</v>
      </c>
      <c r="U22" s="60">
        <f t="shared" si="13"/>
        <v>5.4110579256571087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7">
        <v>8</v>
      </c>
      <c r="C23" s="57"/>
      <c r="D23" s="57"/>
      <c r="E23" s="58"/>
      <c r="F23" s="58"/>
      <c r="G23" s="59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458989.84711724933</v>
      </c>
      <c r="H23" s="60">
        <f t="shared" ca="1" si="6"/>
        <v>2.3011910888905227</v>
      </c>
      <c r="I23" s="74">
        <f t="shared" ca="1" si="8"/>
        <v>1.6108337622233657</v>
      </c>
      <c r="J23" s="57" t="str">
        <f t="shared" ca="1" si="9"/>
        <v>ОБЫЧНЫЙ</v>
      </c>
      <c r="K23" s="57">
        <f t="shared" ca="1" si="10"/>
        <v>60</v>
      </c>
      <c r="L23">
        <f t="shared" ca="1" si="11"/>
        <v>31</v>
      </c>
      <c r="M23" s="61">
        <f t="shared" si="12"/>
        <v>0</v>
      </c>
      <c r="N23">
        <v>34</v>
      </c>
      <c r="R23" s="57">
        <v>8</v>
      </c>
      <c r="T23" s="59">
        <f t="shared" si="16"/>
        <v>714997.41031049867</v>
      </c>
      <c r="U23" s="60">
        <f t="shared" si="13"/>
        <v>3.5847103798050139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7">
        <v>9</v>
      </c>
      <c r="C24" s="57"/>
      <c r="D24" s="57"/>
      <c r="E24" s="58"/>
      <c r="F24" s="58"/>
      <c r="G24" s="59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168095.08189874119</v>
      </c>
      <c r="H24" s="60">
        <f t="shared" ca="1" si="6"/>
        <v>0.84276135296058652</v>
      </c>
      <c r="I24" s="74">
        <f t="shared" ca="1" si="8"/>
        <v>0.58993294707241051</v>
      </c>
      <c r="J24" s="57" t="str">
        <f t="shared" ca="1" si="9"/>
        <v/>
      </c>
      <c r="K24" s="57" t="str">
        <f t="shared" ca="1" si="10"/>
        <v/>
      </c>
      <c r="L24" t="str">
        <f t="shared" ca="1" si="11"/>
        <v/>
      </c>
      <c r="M24" s="61">
        <f t="shared" si="12"/>
        <v>1</v>
      </c>
      <c r="N24" t="str">
        <f>IF(M24=0,IF(J16="НЕУРОЖАЙ",1,N16+33),"")</f>
        <v/>
      </c>
      <c r="R24" s="57">
        <v>9</v>
      </c>
      <c r="T24" s="59">
        <f t="shared" si="16"/>
        <v>674501.51829547936</v>
      </c>
      <c r="U24" s="60">
        <f t="shared" si="13"/>
        <v>3.3816802116500524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7">
        <v>10</v>
      </c>
      <c r="C25" s="57"/>
      <c r="D25" s="57"/>
      <c r="E25" s="58"/>
      <c r="F25" s="58"/>
      <c r="G25" s="59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-35531.253754214529</v>
      </c>
      <c r="H25" s="60">
        <f t="shared" ca="1" si="6"/>
        <v>-0.1781394621903688</v>
      </c>
      <c r="I25" s="74">
        <f t="shared" ca="1" si="8"/>
        <v>-0.12469762353325815</v>
      </c>
      <c r="J25" s="57" t="str">
        <f t="shared" ca="1" si="9"/>
        <v/>
      </c>
      <c r="K25" s="57" t="str">
        <f t="shared" ca="1" si="10"/>
        <v/>
      </c>
      <c r="L25" t="str">
        <f t="shared" ca="1" si="11"/>
        <v/>
      </c>
      <c r="M25" s="61">
        <f t="shared" si="12"/>
        <v>2</v>
      </c>
      <c r="N25" t="str">
        <f t="shared" ref="N25:N62" si="18">IF(M25=0,IF(J17="НЕУРОЖАЙ",1,N17+33),"")</f>
        <v/>
      </c>
      <c r="R25" s="57">
        <v>10</v>
      </c>
      <c r="T25" s="59">
        <f t="shared" si="16"/>
        <v>634005.62628046004</v>
      </c>
      <c r="U25" s="60">
        <f t="shared" si="13"/>
        <v>3.1786500434950904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7">
        <v>11</v>
      </c>
      <c r="C26" s="57"/>
      <c r="D26" s="57"/>
      <c r="E26" s="58"/>
      <c r="F26" s="58"/>
      <c r="G26" s="59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-188729.06483754789</v>
      </c>
      <c r="H26" s="60">
        <f t="shared" ca="1" si="6"/>
        <v>-0.94621187145314822</v>
      </c>
      <c r="I26" s="74">
        <f t="shared" ca="1" si="8"/>
        <v>-0.66234831001720373</v>
      </c>
      <c r="J26" s="57" t="str">
        <f t="shared" ca="1" si="9"/>
        <v/>
      </c>
      <c r="K26" s="57" t="str">
        <f t="shared" ca="1" si="10"/>
        <v/>
      </c>
      <c r="L26" t="str">
        <f t="shared" ca="1" si="11"/>
        <v/>
      </c>
      <c r="M26" s="61">
        <f t="shared" si="12"/>
        <v>3</v>
      </c>
      <c r="N26" t="str">
        <f t="shared" si="18"/>
        <v/>
      </c>
      <c r="R26" s="57">
        <v>11</v>
      </c>
      <c r="T26" s="59">
        <f t="shared" si="16"/>
        <v>593509.73426544073</v>
      </c>
      <c r="U26" s="60">
        <f t="shared" si="13"/>
        <v>2.9756198753401288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7">
        <v>12</v>
      </c>
      <c r="C27" s="57"/>
      <c r="D27" s="57"/>
      <c r="E27" s="58"/>
      <c r="F27" s="58"/>
      <c r="G27" s="59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-341926.87592088123</v>
      </c>
      <c r="H27" s="60">
        <f t="shared" ca="1" si="6"/>
        <v>-1.7142842807159275</v>
      </c>
      <c r="I27" s="74">
        <f t="shared" ca="1" si="8"/>
        <v>-1.1999989965011493</v>
      </c>
      <c r="J27" s="57" t="str">
        <f t="shared" ca="1" si="9"/>
        <v/>
      </c>
      <c r="K27" s="57" t="str">
        <f t="shared" ca="1" si="10"/>
        <v/>
      </c>
      <c r="L27" t="str">
        <f t="shared" ca="1" si="11"/>
        <v/>
      </c>
      <c r="M27" s="61">
        <f t="shared" si="12"/>
        <v>4</v>
      </c>
      <c r="N27" t="str">
        <f t="shared" si="18"/>
        <v/>
      </c>
      <c r="R27" s="57">
        <v>12</v>
      </c>
      <c r="T27" s="59">
        <f t="shared" si="16"/>
        <v>374960.92197078909</v>
      </c>
      <c r="U27" s="60">
        <f t="shared" si="13"/>
        <v>1.8799037445831279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7">
        <v>13</v>
      </c>
      <c r="C28" s="57"/>
      <c r="D28" s="57"/>
      <c r="E28" s="58"/>
      <c r="F28" s="58"/>
      <c r="G28" s="59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-495124.68700421456</v>
      </c>
      <c r="H28" s="60">
        <f t="shared" ca="1" si="6"/>
        <v>-2.4823566899787068</v>
      </c>
      <c r="I28" s="74">
        <f t="shared" ca="1" si="8"/>
        <v>-1.7376496829850947</v>
      </c>
      <c r="J28" s="57" t="str">
        <f t="shared" ca="1" si="9"/>
        <v/>
      </c>
      <c r="K28" s="57" t="str">
        <f t="shared" ca="1" si="10"/>
        <v/>
      </c>
      <c r="L28" t="str">
        <f t="shared" ca="1" si="11"/>
        <v/>
      </c>
      <c r="M28" s="61">
        <f t="shared" si="12"/>
        <v>5</v>
      </c>
      <c r="N28" t="str">
        <f t="shared" si="18"/>
        <v/>
      </c>
      <c r="R28" s="57">
        <v>13</v>
      </c>
      <c r="T28" s="59">
        <f t="shared" si="16"/>
        <v>334465.02995576971</v>
      </c>
      <c r="U28" s="60">
        <f t="shared" si="13"/>
        <v>1.6768735764281659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7">
        <v>14</v>
      </c>
      <c r="C29" s="57"/>
      <c r="D29" s="57"/>
      <c r="E29" s="58"/>
      <c r="F29" s="58"/>
      <c r="G29" s="59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-648322.49808754795</v>
      </c>
      <c r="H29" s="60">
        <f t="shared" ca="1" si="6"/>
        <v>-3.2504290992414862</v>
      </c>
      <c r="I29" s="74">
        <f t="shared" ca="1" si="8"/>
        <v>-2.2753003694690404</v>
      </c>
      <c r="J29" s="57" t="str">
        <f t="shared" ca="1" si="9"/>
        <v/>
      </c>
      <c r="K29" s="57" t="str">
        <f t="shared" ca="1" si="10"/>
        <v/>
      </c>
      <c r="L29" t="str">
        <f t="shared" ca="1" si="11"/>
        <v/>
      </c>
      <c r="M29" s="61">
        <f t="shared" si="12"/>
        <v>6</v>
      </c>
      <c r="N29" t="str">
        <f t="shared" si="18"/>
        <v/>
      </c>
      <c r="R29" s="57">
        <v>14</v>
      </c>
      <c r="T29" s="59">
        <f t="shared" si="16"/>
        <v>293969.13794075034</v>
      </c>
      <c r="U29" s="60">
        <f t="shared" si="13"/>
        <v>1.4738434082732037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7">
        <v>15</v>
      </c>
      <c r="C30" s="57"/>
      <c r="D30" s="57"/>
      <c r="E30" s="58"/>
      <c r="F30" s="58"/>
      <c r="G30" s="59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-801520.30917088129</v>
      </c>
      <c r="H30" s="60">
        <f t="shared" ca="1" si="6"/>
        <v>-4.018501508504265</v>
      </c>
      <c r="I30" s="74">
        <f t="shared" ca="1" si="8"/>
        <v>-2.8129510559529853</v>
      </c>
      <c r="J30" s="57" t="str">
        <f t="shared" ca="1" si="9"/>
        <v/>
      </c>
      <c r="K30" s="57" t="str">
        <f t="shared" ca="1" si="10"/>
        <v/>
      </c>
      <c r="L30" t="str">
        <f t="shared" ca="1" si="11"/>
        <v/>
      </c>
      <c r="M30" s="61">
        <f t="shared" si="12"/>
        <v>7</v>
      </c>
      <c r="N30" t="str">
        <f t="shared" si="18"/>
        <v/>
      </c>
      <c r="R30" s="57">
        <v>15</v>
      </c>
      <c r="T30" s="59">
        <f t="shared" si="16"/>
        <v>253473.24592573097</v>
      </c>
      <c r="U30" s="60">
        <f t="shared" si="13"/>
        <v>1.2708132401182417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7">
        <v>16</v>
      </c>
      <c r="C31" s="57"/>
      <c r="D31" s="57"/>
      <c r="E31" s="58"/>
      <c r="F31" s="58"/>
      <c r="G31" s="59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-729718.12025421462</v>
      </c>
      <c r="H31" s="60">
        <f t="shared" ca="1" si="6"/>
        <v>-3.6585141180736902</v>
      </c>
      <c r="I31" s="74">
        <f t="shared" ca="1" si="8"/>
        <v>-2.5609598826515829</v>
      </c>
      <c r="J31" s="57" t="str">
        <f t="shared" ca="1" si="9"/>
        <v>НЕУРОЖАЙ</v>
      </c>
      <c r="K31" s="57">
        <f t="shared" ca="1" si="10"/>
        <v>31</v>
      </c>
      <c r="L31" t="str">
        <f t="shared" ca="1" si="11"/>
        <v/>
      </c>
      <c r="M31" s="61">
        <f t="shared" si="12"/>
        <v>0</v>
      </c>
      <c r="N31">
        <f t="shared" ca="1" si="18"/>
        <v>67</v>
      </c>
      <c r="R31" s="57">
        <v>16</v>
      </c>
      <c r="T31" s="59">
        <f t="shared" si="16"/>
        <v>136935.38013299229</v>
      </c>
      <c r="U31" s="60">
        <f t="shared" si="13"/>
        <v>0.68653909992780715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7">
        <v>17</v>
      </c>
      <c r="C32" s="57"/>
      <c r="D32" s="57"/>
      <c r="E32" s="58"/>
      <c r="F32" s="58"/>
      <c r="G32" s="59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-882915.93133754795</v>
      </c>
      <c r="H32" s="60">
        <f t="shared" ca="1" si="6"/>
        <v>-4.42658652733647</v>
      </c>
      <c r="I32" s="74">
        <f t="shared" ca="1" si="8"/>
        <v>-3.0986105691355288</v>
      </c>
      <c r="J32" s="57" t="str">
        <f t="shared" ca="1" si="9"/>
        <v/>
      </c>
      <c r="K32" s="57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61">
        <f t="shared" si="12"/>
        <v>1</v>
      </c>
      <c r="N32" t="str">
        <f t="shared" si="18"/>
        <v/>
      </c>
      <c r="R32" s="57">
        <v>17</v>
      </c>
      <c r="T32" s="59">
        <f t="shared" si="16"/>
        <v>96439.488117972898</v>
      </c>
      <c r="U32" s="60">
        <f t="shared" si="13"/>
        <v>0.48350893177284499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7">
        <v>18</v>
      </c>
      <c r="C33" s="57"/>
      <c r="D33" s="57"/>
      <c r="E33" s="58"/>
      <c r="F33" s="58"/>
      <c r="G33" s="59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-1036113.7424208813</v>
      </c>
      <c r="H33" s="60">
        <f t="shared" ca="1" si="6"/>
        <v>-5.1946589365992493</v>
      </c>
      <c r="I33" s="74">
        <f t="shared" ca="1" si="8"/>
        <v>-3.6362612556194742</v>
      </c>
      <c r="J33" s="57" t="str">
        <f t="shared" ca="1" si="9"/>
        <v/>
      </c>
      <c r="K33" s="57" t="str">
        <f t="shared" ca="1" si="19"/>
        <v/>
      </c>
      <c r="L33" t="str">
        <f t="shared" ca="1" si="20"/>
        <v/>
      </c>
      <c r="M33" s="61">
        <f t="shared" si="12"/>
        <v>2</v>
      </c>
      <c r="N33" t="str">
        <f t="shared" si="18"/>
        <v/>
      </c>
      <c r="R33" s="57">
        <v>18</v>
      </c>
      <c r="T33" s="59">
        <f t="shared" si="16"/>
        <v>55943.59610295351</v>
      </c>
      <c r="U33" s="60">
        <f t="shared" si="13"/>
        <v>0.28047876361788288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7">
        <v>19</v>
      </c>
      <c r="C34" s="57"/>
      <c r="D34" s="57"/>
      <c r="E34" s="58"/>
      <c r="F34" s="58"/>
      <c r="G34" s="59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-1189311.5535042146</v>
      </c>
      <c r="H34" s="60">
        <f t="shared" ca="1" si="6"/>
        <v>-5.9627313458620277</v>
      </c>
      <c r="I34" s="74">
        <f t="shared" ca="1" si="8"/>
        <v>-4.1739119421034188</v>
      </c>
      <c r="J34" s="57" t="str">
        <f t="shared" ca="1" si="9"/>
        <v/>
      </c>
      <c r="K34" s="57" t="str">
        <f t="shared" ca="1" si="19"/>
        <v/>
      </c>
      <c r="L34" t="str">
        <f t="shared" ca="1" si="20"/>
        <v/>
      </c>
      <c r="M34" s="61">
        <f t="shared" si="12"/>
        <v>3</v>
      </c>
      <c r="N34" t="str">
        <f t="shared" si="18"/>
        <v/>
      </c>
      <c r="R34" s="57">
        <v>19</v>
      </c>
      <c r="T34" s="59">
        <f t="shared" si="16"/>
        <v>15447.704087934122</v>
      </c>
      <c r="U34" s="60">
        <f t="shared" si="13"/>
        <v>7.744859546292078E-2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7">
        <v>20</v>
      </c>
      <c r="C35" s="57"/>
      <c r="D35" s="57"/>
      <c r="E35" s="58"/>
      <c r="F35" s="58"/>
      <c r="G35" s="59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-1342509.364587548</v>
      </c>
      <c r="H35" s="60">
        <f t="shared" ca="1" si="6"/>
        <v>-6.730803755124807</v>
      </c>
      <c r="I35" s="74">
        <f t="shared" ca="1" si="8"/>
        <v>-4.7115626285873642</v>
      </c>
      <c r="J35" s="57" t="str">
        <f t="shared" ca="1" si="9"/>
        <v/>
      </c>
      <c r="K35" s="57" t="str">
        <f t="shared" ca="1" si="19"/>
        <v/>
      </c>
      <c r="L35" t="str">
        <f t="shared" ca="1" si="20"/>
        <v/>
      </c>
      <c r="M35" s="61">
        <f t="shared" si="12"/>
        <v>4</v>
      </c>
      <c r="N35" t="str">
        <f t="shared" si="18"/>
        <v/>
      </c>
      <c r="R35" s="57">
        <v>20</v>
      </c>
      <c r="T35" s="59">
        <f t="shared" si="16"/>
        <v>-29682.499153465498</v>
      </c>
      <c r="U35" s="60">
        <f t="shared" si="13"/>
        <v>-0.14881615133091755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7">
        <v>21</v>
      </c>
      <c r="C36" s="57"/>
      <c r="D36" s="57"/>
      <c r="E36" s="58"/>
      <c r="F36" s="58"/>
      <c r="G36" s="59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-1495707.1756708813</v>
      </c>
      <c r="H36" s="60">
        <f t="shared" ca="1" si="6"/>
        <v>-7.4988761643875863</v>
      </c>
      <c r="I36" s="74">
        <f t="shared" ca="1" si="8"/>
        <v>-5.2492133150713105</v>
      </c>
      <c r="J36" s="57" t="str">
        <f t="shared" ca="1" si="9"/>
        <v/>
      </c>
      <c r="K36" s="57" t="str">
        <f t="shared" ca="1" si="19"/>
        <v/>
      </c>
      <c r="L36" t="str">
        <f t="shared" ca="1" si="20"/>
        <v/>
      </c>
      <c r="M36" s="61">
        <f t="shared" si="12"/>
        <v>5</v>
      </c>
      <c r="N36" t="str">
        <f t="shared" si="18"/>
        <v/>
      </c>
      <c r="R36" s="57">
        <v>21</v>
      </c>
      <c r="T36" s="59">
        <f t="shared" si="16"/>
        <v>-70178.391168484886</v>
      </c>
      <c r="U36" s="60">
        <f t="shared" si="13"/>
        <v>-0.35184631948587963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7">
        <v>22</v>
      </c>
      <c r="C37" s="57"/>
      <c r="D37" s="57"/>
      <c r="E37" s="58"/>
      <c r="F37" s="58"/>
      <c r="G37" s="59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-1648904.9867542146</v>
      </c>
      <c r="H37" s="60">
        <f t="shared" ca="1" si="6"/>
        <v>-8.2669485736503656</v>
      </c>
      <c r="I37" s="74">
        <f t="shared" ca="1" si="8"/>
        <v>-5.7868640015552559</v>
      </c>
      <c r="J37" s="57" t="str">
        <f t="shared" ca="1" si="9"/>
        <v/>
      </c>
      <c r="K37" s="57" t="str">
        <f t="shared" ca="1" si="19"/>
        <v/>
      </c>
      <c r="L37" t="str">
        <f t="shared" ca="1" si="20"/>
        <v/>
      </c>
      <c r="M37" s="61">
        <f t="shared" si="12"/>
        <v>6</v>
      </c>
      <c r="N37" t="str">
        <f t="shared" si="18"/>
        <v/>
      </c>
      <c r="R37" s="57">
        <v>22</v>
      </c>
      <c r="T37" s="59">
        <f t="shared" si="16"/>
        <v>-110674.28318350427</v>
      </c>
      <c r="U37" s="60">
        <f t="shared" si="13"/>
        <v>-0.55487648764084174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7">
        <v>23</v>
      </c>
      <c r="C38" s="57"/>
      <c r="D38" s="57"/>
      <c r="E38" s="58"/>
      <c r="F38" s="58"/>
      <c r="G38" s="59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-1802102.797837548</v>
      </c>
      <c r="H38" s="60">
        <f t="shared" ca="1" si="6"/>
        <v>-9.0350209829131458</v>
      </c>
      <c r="I38" s="74">
        <f t="shared" ca="1" si="8"/>
        <v>-6.3245146880392014</v>
      </c>
      <c r="J38" s="57" t="str">
        <f t="shared" ca="1" si="9"/>
        <v/>
      </c>
      <c r="K38" s="57" t="str">
        <f t="shared" ca="1" si="19"/>
        <v/>
      </c>
      <c r="L38" t="str">
        <f t="shared" ca="1" si="20"/>
        <v/>
      </c>
      <c r="M38" s="61">
        <f t="shared" si="12"/>
        <v>7</v>
      </c>
      <c r="N38" t="str">
        <f t="shared" si="18"/>
        <v/>
      </c>
      <c r="R38" s="57">
        <v>23</v>
      </c>
      <c r="T38" s="59">
        <f t="shared" si="16"/>
        <v>-151170.17519852368</v>
      </c>
      <c r="U38" s="60">
        <f t="shared" si="13"/>
        <v>-0.75790665579580396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7">
        <v>24</v>
      </c>
      <c r="C39" s="57"/>
      <c r="D39" s="57"/>
      <c r="E39" s="58"/>
      <c r="F39" s="58"/>
      <c r="G39" s="59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-1730300.6089208813</v>
      </c>
      <c r="H39" s="60">
        <f t="shared" ca="1" si="6"/>
        <v>-8.6750335924825706</v>
      </c>
      <c r="I39" s="74">
        <f t="shared" ca="1" si="8"/>
        <v>-6.0725235147377994</v>
      </c>
      <c r="J39" s="57" t="str">
        <f t="shared" ca="1" si="9"/>
        <v>НЕУРОЖАЙ</v>
      </c>
      <c r="K39" s="57">
        <f t="shared" ca="1" si="19"/>
        <v>8</v>
      </c>
      <c r="L39" t="str">
        <f t="shared" ca="1" si="20"/>
        <v/>
      </c>
      <c r="M39" s="61">
        <f t="shared" si="12"/>
        <v>0</v>
      </c>
      <c r="N39">
        <f t="shared" ca="1" si="18"/>
        <v>1</v>
      </c>
      <c r="R39" s="57">
        <v>24</v>
      </c>
      <c r="T39" s="59">
        <f t="shared" si="16"/>
        <v>-191666.06721354305</v>
      </c>
      <c r="U39" s="60">
        <f t="shared" si="13"/>
        <v>-0.96093682395076596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7">
        <v>25</v>
      </c>
      <c r="C40" s="57"/>
      <c r="D40" s="57"/>
      <c r="E40" s="58"/>
      <c r="F40" s="58"/>
      <c r="G40" s="59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-1883498.4200042146</v>
      </c>
      <c r="H40" s="60">
        <f t="shared" ca="1" si="6"/>
        <v>-9.443106001745349</v>
      </c>
      <c r="I40" s="74">
        <f t="shared" ca="1" si="8"/>
        <v>-6.6101742012217439</v>
      </c>
      <c r="J40" s="57" t="str">
        <f t="shared" ca="1" si="9"/>
        <v/>
      </c>
      <c r="K40" s="57" t="str">
        <f t="shared" ca="1" si="19"/>
        <v/>
      </c>
      <c r="L40" t="str">
        <f t="shared" ca="1" si="20"/>
        <v/>
      </c>
      <c r="M40" s="61">
        <f t="shared" si="12"/>
        <v>1</v>
      </c>
      <c r="N40" t="str">
        <f t="shared" si="18"/>
        <v/>
      </c>
      <c r="R40" s="57">
        <v>25</v>
      </c>
      <c r="T40" s="59">
        <f t="shared" si="16"/>
        <v>-232161.95922856242</v>
      </c>
      <c r="U40" s="60">
        <f t="shared" si="13"/>
        <v>-1.1639669921057281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7">
        <v>26</v>
      </c>
      <c r="C41" s="57"/>
      <c r="D41" s="57"/>
      <c r="E41" s="58"/>
      <c r="F41" s="58"/>
      <c r="G41" s="59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-2036696.231087548</v>
      </c>
      <c r="H41" s="60">
        <f t="shared" ca="1" si="6"/>
        <v>-10.211178411008129</v>
      </c>
      <c r="I41" s="74">
        <f t="shared" ca="1" si="8"/>
        <v>-7.1478248877056902</v>
      </c>
      <c r="J41" s="57" t="str">
        <f t="shared" ca="1" si="9"/>
        <v/>
      </c>
      <c r="K41" s="57" t="str">
        <f t="shared" ca="1" si="19"/>
        <v/>
      </c>
      <c r="L41" t="str">
        <f t="shared" ca="1" si="20"/>
        <v/>
      </c>
      <c r="M41" s="61">
        <f t="shared" si="12"/>
        <v>2</v>
      </c>
      <c r="N41" t="str">
        <f t="shared" si="18"/>
        <v/>
      </c>
      <c r="R41" s="57">
        <v>26</v>
      </c>
      <c r="T41" s="59">
        <f t="shared" si="16"/>
        <v>-272657.8512435818</v>
      </c>
      <c r="U41" s="60">
        <f t="shared" si="13"/>
        <v>-1.3669971602606901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7">
        <v>27</v>
      </c>
      <c r="C42" s="57"/>
      <c r="D42" s="57"/>
      <c r="E42" s="58"/>
      <c r="F42" s="58"/>
      <c r="G42" s="59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-2189894.0421708813</v>
      </c>
      <c r="H42" s="60">
        <f t="shared" ca="1" si="6"/>
        <v>-10.979250820270908</v>
      </c>
      <c r="I42" s="74">
        <f t="shared" ca="1" si="8"/>
        <v>-7.6854755741896348</v>
      </c>
      <c r="J42" s="57" t="str">
        <f t="shared" ca="1" si="9"/>
        <v/>
      </c>
      <c r="K42" s="57" t="str">
        <f t="shared" ca="1" si="19"/>
        <v/>
      </c>
      <c r="L42" t="str">
        <f t="shared" ca="1" si="20"/>
        <v/>
      </c>
      <c r="M42" s="61">
        <f t="shared" si="12"/>
        <v>3</v>
      </c>
      <c r="N42" t="str">
        <f t="shared" si="18"/>
        <v/>
      </c>
      <c r="R42" s="57">
        <v>27</v>
      </c>
      <c r="T42" s="59">
        <f t="shared" si="16"/>
        <v>-313153.74325860117</v>
      </c>
      <c r="U42" s="60">
        <f t="shared" si="13"/>
        <v>-1.5700273284156521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7">
        <v>28</v>
      </c>
      <c r="C43" s="57"/>
      <c r="D43" s="57"/>
      <c r="E43" s="58"/>
      <c r="F43" s="58"/>
      <c r="G43" s="59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-2343091.8532542144</v>
      </c>
      <c r="H43" s="60">
        <f t="shared" ca="1" si="6"/>
        <v>-11.747323229533686</v>
      </c>
      <c r="I43" s="74">
        <f t="shared" ca="1" si="8"/>
        <v>-8.2231262606735793</v>
      </c>
      <c r="J43" s="57" t="str">
        <f t="shared" ca="1" si="9"/>
        <v/>
      </c>
      <c r="K43" s="57" t="str">
        <f t="shared" ca="1" si="19"/>
        <v/>
      </c>
      <c r="L43" t="str">
        <f t="shared" ca="1" si="20"/>
        <v/>
      </c>
      <c r="M43" s="61">
        <f t="shared" si="12"/>
        <v>4</v>
      </c>
      <c r="N43" t="str">
        <f t="shared" si="18"/>
        <v/>
      </c>
      <c r="R43" s="57">
        <v>28</v>
      </c>
      <c r="T43" s="59">
        <f t="shared" si="16"/>
        <v>-353649.63527362054</v>
      </c>
      <c r="U43" s="60">
        <f t="shared" si="13"/>
        <v>-1.7730574965706141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7">
        <v>29</v>
      </c>
      <c r="C44" s="57"/>
      <c r="D44" s="57"/>
      <c r="E44" s="58"/>
      <c r="F44" s="58"/>
      <c r="G44" s="59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-2496289.6643375475</v>
      </c>
      <c r="H44" s="60">
        <f t="shared" ca="1" si="6"/>
        <v>-12.515395638796464</v>
      </c>
      <c r="I44" s="74">
        <f t="shared" ca="1" si="8"/>
        <v>-8.7607769471575239</v>
      </c>
      <c r="J44" s="57" t="str">
        <f t="shared" ca="1" si="9"/>
        <v/>
      </c>
      <c r="K44" s="57" t="str">
        <f t="shared" ca="1" si="19"/>
        <v/>
      </c>
      <c r="L44" t="str">
        <f t="shared" ca="1" si="20"/>
        <v/>
      </c>
      <c r="M44" s="61">
        <f t="shared" si="12"/>
        <v>5</v>
      </c>
      <c r="N44" t="str">
        <f t="shared" si="18"/>
        <v/>
      </c>
      <c r="R44" s="57">
        <v>29</v>
      </c>
      <c r="T44" s="59">
        <f t="shared" si="16"/>
        <v>-394145.52728863992</v>
      </c>
      <c r="U44" s="60">
        <f t="shared" si="13"/>
        <v>-1.9760876647255761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7">
        <v>30</v>
      </c>
      <c r="C45" s="57"/>
      <c r="D45" s="57"/>
      <c r="E45" s="58"/>
      <c r="F45" s="58"/>
      <c r="G45" s="59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-2649487.4754208806</v>
      </c>
      <c r="H45" s="60">
        <f t="shared" ca="1" si="6"/>
        <v>-13.283468048059241</v>
      </c>
      <c r="I45" s="74">
        <f t="shared" ca="1" si="8"/>
        <v>-9.2984276336414684</v>
      </c>
      <c r="J45" s="57" t="str">
        <f t="shared" ca="1" si="9"/>
        <v/>
      </c>
      <c r="K45" s="57" t="str">
        <f t="shared" ca="1" si="19"/>
        <v/>
      </c>
      <c r="L45" t="str">
        <f t="shared" ca="1" si="20"/>
        <v/>
      </c>
      <c r="M45" s="61">
        <f t="shared" si="12"/>
        <v>6</v>
      </c>
      <c r="N45" t="str">
        <f t="shared" si="18"/>
        <v/>
      </c>
      <c r="R45" s="57">
        <v>30</v>
      </c>
      <c r="T45" s="59">
        <f t="shared" si="16"/>
        <v>-434641.41930365929</v>
      </c>
      <c r="U45" s="60">
        <f t="shared" si="13"/>
        <v>-2.1791178328805381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7">
        <v>31</v>
      </c>
      <c r="C46" s="57"/>
      <c r="D46" s="57"/>
      <c r="E46" s="58"/>
      <c r="F46" s="58"/>
      <c r="G46" s="59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-2802685.2865042137</v>
      </c>
      <c r="H46" s="60">
        <f t="shared" ca="1" si="6"/>
        <v>-14.05154045732202</v>
      </c>
      <c r="I46" s="74">
        <f t="shared" ca="1" si="8"/>
        <v>-9.8360783201254129</v>
      </c>
      <c r="J46" s="57" t="str">
        <f t="shared" ca="1" si="9"/>
        <v/>
      </c>
      <c r="K46" s="57" t="str">
        <f t="shared" ca="1" si="19"/>
        <v/>
      </c>
      <c r="L46" t="str">
        <f t="shared" ca="1" si="20"/>
        <v/>
      </c>
      <c r="M46" s="61">
        <f t="shared" si="12"/>
        <v>7</v>
      </c>
      <c r="N46" t="str">
        <f t="shared" si="18"/>
        <v/>
      </c>
      <c r="R46" s="57">
        <v>31</v>
      </c>
      <c r="T46" s="59">
        <f t="shared" si="16"/>
        <v>-475137.31131867866</v>
      </c>
      <c r="U46" s="60">
        <f t="shared" si="13"/>
        <v>-2.3821480010355001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7">
        <v>32</v>
      </c>
      <c r="C47" s="57"/>
      <c r="D47" s="57"/>
      <c r="E47" s="58"/>
      <c r="F47" s="58"/>
      <c r="G47" s="59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-2055883.097587547</v>
      </c>
      <c r="H47" s="60">
        <f t="shared" ca="1" si="6"/>
        <v>-10.307373667811381</v>
      </c>
      <c r="I47" s="74">
        <f t="shared" ca="1" si="8"/>
        <v>-7.2151615674679661</v>
      </c>
      <c r="J47" s="57" t="str">
        <f t="shared" ca="1" si="9"/>
        <v>ОБЫЧНЫЙ</v>
      </c>
      <c r="K47" s="57">
        <f t="shared" ca="1" si="19"/>
        <v>37</v>
      </c>
      <c r="L47">
        <f t="shared" ca="1" si="20"/>
        <v>84</v>
      </c>
      <c r="M47" s="61">
        <f t="shared" si="12"/>
        <v>0</v>
      </c>
      <c r="N47">
        <f t="shared" ca="1" si="18"/>
        <v>1</v>
      </c>
      <c r="R47" s="57">
        <v>32</v>
      </c>
      <c r="T47" s="59">
        <f t="shared" ca="1" si="16"/>
        <v>384366.79666630202</v>
      </c>
      <c r="U47" s="60">
        <f t="shared" ca="1" si="13"/>
        <v>1.9270610295829551</v>
      </c>
      <c r="V47">
        <f t="shared" si="17"/>
        <v>8</v>
      </c>
      <c r="W47">
        <f t="shared" si="14"/>
        <v>0</v>
      </c>
      <c r="X47">
        <f t="shared" si="15"/>
        <v>0</v>
      </c>
      <c r="Y47" s="57" t="str">
        <f ca="1">J23</f>
        <v>ОБЫЧНЫЙ</v>
      </c>
      <c r="Z47" s="57">
        <f ca="1">K23</f>
        <v>60</v>
      </c>
      <c r="AA47" s="57">
        <f>N23</f>
        <v>34</v>
      </c>
    </row>
    <row r="48" spans="1:27" x14ac:dyDescent="0.25">
      <c r="A48" t="str">
        <f t="shared" si="7"/>
        <v/>
      </c>
      <c r="B48" s="57">
        <v>33</v>
      </c>
      <c r="C48" s="57"/>
      <c r="D48" s="57"/>
      <c r="E48" s="58"/>
      <c r="F48" s="58"/>
      <c r="G48" s="59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-2209080.9086708804</v>
      </c>
      <c r="H48" s="60">
        <f t="shared" ca="1" si="6"/>
        <v>-11.075446077074162</v>
      </c>
      <c r="I48" s="74">
        <f t="shared" ca="1" si="8"/>
        <v>-7.7528122539519124</v>
      </c>
      <c r="J48" s="57" t="str">
        <f t="shared" ca="1" si="9"/>
        <v/>
      </c>
      <c r="K48" s="57" t="str">
        <f t="shared" ca="1" si="19"/>
        <v/>
      </c>
      <c r="L48" t="str">
        <f t="shared" ca="1" si="20"/>
        <v/>
      </c>
      <c r="M48" s="61">
        <f t="shared" si="12"/>
        <v>1</v>
      </c>
      <c r="N48" t="str">
        <f t="shared" si="18"/>
        <v/>
      </c>
      <c r="R48" s="57">
        <v>33</v>
      </c>
      <c r="T48" s="59">
        <f t="shared" ca="1" si="16"/>
        <v>343870.90465128265</v>
      </c>
      <c r="U48" s="60">
        <f t="shared" ca="1" si="13"/>
        <v>1.7240308614279929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7">
        <v>34</v>
      </c>
      <c r="C49" s="57"/>
      <c r="D49" s="57"/>
      <c r="E49" s="58"/>
      <c r="F49" s="58"/>
      <c r="G49" s="59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-2362278.7197542135</v>
      </c>
      <c r="H49" s="60">
        <f t="shared" ca="1" si="6"/>
        <v>-11.84351848633694</v>
      </c>
      <c r="I49" s="74">
        <f t="shared" ca="1" si="8"/>
        <v>-8.290462940435857</v>
      </c>
      <c r="J49" s="57" t="str">
        <f t="shared" ca="1" si="9"/>
        <v/>
      </c>
      <c r="K49" s="57" t="str">
        <f t="shared" ca="1" si="19"/>
        <v/>
      </c>
      <c r="L49" t="str">
        <f t="shared" ca="1" si="20"/>
        <v/>
      </c>
      <c r="M49" s="61">
        <f t="shared" si="12"/>
        <v>2</v>
      </c>
      <c r="N49" t="str">
        <f t="shared" si="18"/>
        <v/>
      </c>
      <c r="R49" s="57">
        <v>34</v>
      </c>
      <c r="T49" s="59">
        <f t="shared" ca="1" si="16"/>
        <v>303375.01263626327</v>
      </c>
      <c r="U49" s="60">
        <f t="shared" ca="1" si="13"/>
        <v>1.5210006932730309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7">
        <v>35</v>
      </c>
      <c r="C50" s="57"/>
      <c r="D50" s="57"/>
      <c r="E50" s="58"/>
      <c r="F50" s="58"/>
      <c r="G50" s="59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-2515476.5308375466</v>
      </c>
      <c r="H50" s="60">
        <f t="shared" ca="1" si="6"/>
        <v>-12.611590895599717</v>
      </c>
      <c r="I50" s="74">
        <f t="shared" ca="1" si="8"/>
        <v>-8.8281136269198015</v>
      </c>
      <c r="J50" s="57" t="str">
        <f t="shared" ca="1" si="9"/>
        <v/>
      </c>
      <c r="K50" s="57" t="str">
        <f t="shared" ca="1" si="19"/>
        <v/>
      </c>
      <c r="L50" t="str">
        <f t="shared" ca="1" si="20"/>
        <v/>
      </c>
      <c r="M50" s="61">
        <f t="shared" si="12"/>
        <v>3</v>
      </c>
      <c r="N50" t="str">
        <f t="shared" si="18"/>
        <v/>
      </c>
      <c r="R50" s="57">
        <v>35</v>
      </c>
      <c r="T50" s="59">
        <f t="shared" ca="1" si="16"/>
        <v>262879.1206212439</v>
      </c>
      <c r="U50" s="60">
        <f t="shared" ca="1" si="13"/>
        <v>1.3179705251180689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7">
        <v>36</v>
      </c>
      <c r="C51" s="57"/>
      <c r="D51" s="57"/>
      <c r="E51" s="58"/>
      <c r="F51" s="58"/>
      <c r="G51" s="59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-2668674.3419208797</v>
      </c>
      <c r="H51" s="60">
        <f t="shared" ca="1" si="6"/>
        <v>-13.379663304862495</v>
      </c>
      <c r="I51" s="74">
        <f t="shared" ca="1" si="8"/>
        <v>-9.365764313403746</v>
      </c>
      <c r="J51" s="57" t="str">
        <f t="shared" ca="1" si="9"/>
        <v/>
      </c>
      <c r="K51" s="57" t="str">
        <f t="shared" ca="1" si="19"/>
        <v/>
      </c>
      <c r="L51" t="str">
        <f t="shared" ca="1" si="20"/>
        <v/>
      </c>
      <c r="M51" s="61">
        <f t="shared" si="12"/>
        <v>4</v>
      </c>
      <c r="N51" t="str">
        <f t="shared" si="18"/>
        <v/>
      </c>
      <c r="R51" s="57">
        <v>36</v>
      </c>
      <c r="T51" s="59">
        <f t="shared" ca="1" si="16"/>
        <v>143519.4924198513</v>
      </c>
      <c r="U51" s="60">
        <f t="shared" ca="1" si="13"/>
        <v>0.71954919942768591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7">
        <v>37</v>
      </c>
      <c r="C52" s="57"/>
      <c r="D52" s="57"/>
      <c r="E52" s="58"/>
      <c r="F52" s="58"/>
      <c r="G52" s="59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-2821872.1530042128</v>
      </c>
      <c r="H52" s="60">
        <f t="shared" ca="1" si="6"/>
        <v>-14.147735714125274</v>
      </c>
      <c r="I52" s="74">
        <f t="shared" ca="1" si="8"/>
        <v>-9.9034149998876906</v>
      </c>
      <c r="J52" s="57" t="str">
        <f t="shared" ca="1" si="9"/>
        <v/>
      </c>
      <c r="K52" s="57" t="str">
        <f t="shared" ca="1" si="19"/>
        <v/>
      </c>
      <c r="L52" t="str">
        <f t="shared" ca="1" si="20"/>
        <v/>
      </c>
      <c r="M52" s="61">
        <f t="shared" si="12"/>
        <v>5</v>
      </c>
      <c r="N52" t="str">
        <f t="shared" si="18"/>
        <v/>
      </c>
      <c r="R52" s="57">
        <v>37</v>
      </c>
      <c r="T52" s="59">
        <f t="shared" ca="1" si="16"/>
        <v>103023.60040483192</v>
      </c>
      <c r="U52" s="60">
        <f t="shared" ca="1" si="13"/>
        <v>0.51651903127272381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7">
        <v>38</v>
      </c>
      <c r="C53" s="57"/>
      <c r="D53" s="57"/>
      <c r="E53" s="58"/>
      <c r="F53" s="58"/>
      <c r="G53" s="59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-2975069.9640875459</v>
      </c>
      <c r="H53" s="60">
        <f t="shared" ca="1" si="6"/>
        <v>-14.915808123388052</v>
      </c>
      <c r="I53" s="74">
        <f t="shared" ca="1" si="8"/>
        <v>-10.441065686371635</v>
      </c>
      <c r="J53" s="57" t="str">
        <f t="shared" ca="1" si="9"/>
        <v/>
      </c>
      <c r="K53" s="57" t="str">
        <f t="shared" ca="1" si="19"/>
        <v/>
      </c>
      <c r="L53" t="str">
        <f t="shared" ca="1" si="20"/>
        <v/>
      </c>
      <c r="M53" s="61">
        <f t="shared" si="12"/>
        <v>6</v>
      </c>
      <c r="N53" t="str">
        <f t="shared" si="18"/>
        <v/>
      </c>
      <c r="R53" s="57">
        <v>38</v>
      </c>
      <c r="T53" s="59">
        <f t="shared" ca="1" si="16"/>
        <v>62527.708389812527</v>
      </c>
      <c r="U53" s="60">
        <f t="shared" ca="1" si="13"/>
        <v>0.3134888631177617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7">
        <v>39</v>
      </c>
      <c r="C54" s="57"/>
      <c r="D54" s="57"/>
      <c r="E54" s="58"/>
      <c r="F54" s="58"/>
      <c r="G54" s="59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-3128267.775170879</v>
      </c>
      <c r="H54" s="60">
        <f t="shared" ca="1" si="6"/>
        <v>-15.68388053265083</v>
      </c>
      <c r="I54" s="74">
        <f t="shared" ca="1" si="8"/>
        <v>-10.978716372855581</v>
      </c>
      <c r="J54" s="57" t="str">
        <f t="shared" ca="1" si="9"/>
        <v/>
      </c>
      <c r="K54" s="57" t="str">
        <f t="shared" ca="1" si="19"/>
        <v/>
      </c>
      <c r="L54" t="str">
        <f t="shared" ca="1" si="20"/>
        <v/>
      </c>
      <c r="M54" s="61">
        <f t="shared" si="12"/>
        <v>7</v>
      </c>
      <c r="N54" t="str">
        <f t="shared" si="18"/>
        <v/>
      </c>
      <c r="R54" s="57">
        <v>39</v>
      </c>
      <c r="T54" s="59">
        <f t="shared" ca="1" si="16"/>
        <v>22031.816374793139</v>
      </c>
      <c r="U54" s="60">
        <f t="shared" ca="1" si="13"/>
        <v>0.1104586949627996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7">
        <v>40</v>
      </c>
      <c r="C55" s="57"/>
      <c r="D55" s="57"/>
      <c r="E55" s="58"/>
      <c r="F55" s="58"/>
      <c r="G55" s="59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-3056465.5862542121</v>
      </c>
      <c r="H55" s="60">
        <f t="shared" ca="1" si="6"/>
        <v>-15.323893142220253</v>
      </c>
      <c r="I55" s="74">
        <f t="shared" ca="1" si="8"/>
        <v>-10.726725199554176</v>
      </c>
      <c r="J55" s="57" t="str">
        <f t="shared" ca="1" si="9"/>
        <v>НЕУРОЖАЙ</v>
      </c>
      <c r="K55" s="57">
        <f t="shared" ca="1" si="19"/>
        <v>31</v>
      </c>
      <c r="L55" t="str">
        <f t="shared" ca="1" si="20"/>
        <v/>
      </c>
      <c r="M55" s="61">
        <f t="shared" si="12"/>
        <v>0</v>
      </c>
      <c r="N55">
        <f t="shared" ca="1" si="18"/>
        <v>34</v>
      </c>
      <c r="R55" s="57">
        <v>40</v>
      </c>
      <c r="T55" s="59">
        <f t="shared" ca="1" si="16"/>
        <v>-25073.620552664186</v>
      </c>
      <c r="U55" s="60">
        <f t="shared" ca="1" si="13"/>
        <v>-0.12570908168100237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7">
        <v>41</v>
      </c>
      <c r="C56" s="57"/>
      <c r="D56" s="57"/>
      <c r="E56" s="58"/>
      <c r="F56" s="58"/>
      <c r="G56" s="59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-3209663.3973375452</v>
      </c>
      <c r="H56" s="60">
        <f t="shared" ca="1" si="6"/>
        <v>-16.091965551483032</v>
      </c>
      <c r="I56" s="74">
        <f t="shared" ca="1" si="8"/>
        <v>-11.264375886038122</v>
      </c>
      <c r="J56" s="57" t="str">
        <f t="shared" ca="1" si="9"/>
        <v/>
      </c>
      <c r="K56" s="57" t="str">
        <f t="shared" ca="1" si="19"/>
        <v/>
      </c>
      <c r="L56" t="str">
        <f t="shared" ca="1" si="20"/>
        <v/>
      </c>
      <c r="M56" s="61">
        <f t="shared" si="12"/>
        <v>1</v>
      </c>
      <c r="N56" t="str">
        <f t="shared" si="18"/>
        <v/>
      </c>
      <c r="R56" s="57">
        <v>41</v>
      </c>
      <c r="T56" s="59">
        <f t="shared" ca="1" si="16"/>
        <v>-65569.512567683574</v>
      </c>
      <c r="U56" s="60">
        <f t="shared" ca="1" si="13"/>
        <v>-0.32873924983596448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7">
        <v>42</v>
      </c>
      <c r="C57" s="57"/>
      <c r="D57" s="57"/>
      <c r="E57" s="58"/>
      <c r="F57" s="58"/>
      <c r="G57" s="59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-3362861.2084208783</v>
      </c>
      <c r="H57" s="60">
        <f t="shared" ca="1" si="6"/>
        <v>-16.86003796074581</v>
      </c>
      <c r="I57" s="74">
        <f t="shared" ca="1" si="8"/>
        <v>-11.802026572522067</v>
      </c>
      <c r="J57" s="57" t="str">
        <f t="shared" ca="1" si="9"/>
        <v/>
      </c>
      <c r="K57" s="57" t="str">
        <f t="shared" ca="1" si="19"/>
        <v/>
      </c>
      <c r="L57" t="str">
        <f t="shared" ca="1" si="20"/>
        <v/>
      </c>
      <c r="M57" s="61">
        <f t="shared" si="12"/>
        <v>2</v>
      </c>
      <c r="N57" t="str">
        <f t="shared" si="18"/>
        <v/>
      </c>
      <c r="R57" s="57">
        <v>42</v>
      </c>
      <c r="T57" s="59">
        <f t="shared" ca="1" si="16"/>
        <v>-106065.40458270296</v>
      </c>
      <c r="U57" s="60">
        <f t="shared" ca="1" si="13"/>
        <v>-0.53176941799092659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7">
        <v>43</v>
      </c>
      <c r="C58" s="57"/>
      <c r="D58" s="57"/>
      <c r="E58" s="58"/>
      <c r="F58" s="58"/>
      <c r="G58" s="59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-3516059.0195042114</v>
      </c>
      <c r="H58" s="60">
        <f t="shared" ca="1" si="6"/>
        <v>-17.628110370008589</v>
      </c>
      <c r="I58" s="74">
        <f t="shared" ca="1" si="8"/>
        <v>-12.339677259006011</v>
      </c>
      <c r="J58" s="57" t="str">
        <f t="shared" ca="1" si="9"/>
        <v/>
      </c>
      <c r="K58" s="57" t="str">
        <f t="shared" ca="1" si="19"/>
        <v/>
      </c>
      <c r="L58" t="str">
        <f t="shared" ca="1" si="20"/>
        <v/>
      </c>
      <c r="M58" s="61">
        <f t="shared" si="12"/>
        <v>3</v>
      </c>
      <c r="N58" t="str">
        <f t="shared" si="18"/>
        <v/>
      </c>
      <c r="R58" s="57">
        <v>43</v>
      </c>
      <c r="T58" s="59">
        <f t="shared" ca="1" si="16"/>
        <v>-146561.29659772234</v>
      </c>
      <c r="U58" s="60">
        <f t="shared" ca="1" si="13"/>
        <v>-0.73479958614588858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7">
        <v>44</v>
      </c>
      <c r="C59" s="57"/>
      <c r="D59" s="57"/>
      <c r="E59" s="58"/>
      <c r="F59" s="58"/>
      <c r="G59" s="59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-3669256.8305875445</v>
      </c>
      <c r="H59" s="60">
        <f t="shared" ca="1" si="6"/>
        <v>-18.396182779271367</v>
      </c>
      <c r="I59" s="74">
        <f t="shared" ca="1" si="8"/>
        <v>-12.877327945489956</v>
      </c>
      <c r="J59" s="57" t="str">
        <f t="shared" ca="1" si="9"/>
        <v/>
      </c>
      <c r="K59" s="57" t="str">
        <f t="shared" ca="1" si="19"/>
        <v/>
      </c>
      <c r="L59" t="str">
        <f t="shared" ca="1" si="20"/>
        <v/>
      </c>
      <c r="M59" s="61">
        <f t="shared" si="12"/>
        <v>4</v>
      </c>
      <c r="N59" t="str">
        <f t="shared" si="18"/>
        <v/>
      </c>
      <c r="R59" s="57">
        <v>44</v>
      </c>
      <c r="T59" s="59">
        <f t="shared" ca="1" si="16"/>
        <v>-187057.18861274171</v>
      </c>
      <c r="U59" s="60">
        <f t="shared" ca="1" si="13"/>
        <v>-0.93782975430085069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7">
        <v>45</v>
      </c>
      <c r="C60" s="57"/>
      <c r="D60" s="57"/>
      <c r="E60" s="58"/>
      <c r="F60" s="58"/>
      <c r="G60" s="59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-3822454.6416708776</v>
      </c>
      <c r="H60" s="60">
        <f t="shared" ca="1" si="6"/>
        <v>-19.164255188534145</v>
      </c>
      <c r="I60" s="74">
        <f t="shared" ca="1" si="8"/>
        <v>-13.4149786319739</v>
      </c>
      <c r="J60" s="57" t="str">
        <f t="shared" ca="1" si="9"/>
        <v/>
      </c>
      <c r="K60" s="57" t="str">
        <f t="shared" ca="1" si="19"/>
        <v/>
      </c>
      <c r="L60" t="str">
        <f t="shared" ca="1" si="20"/>
        <v/>
      </c>
      <c r="M60" s="61">
        <f t="shared" si="12"/>
        <v>5</v>
      </c>
      <c r="N60" t="str">
        <f t="shared" si="18"/>
        <v/>
      </c>
      <c r="R60" s="57">
        <v>45</v>
      </c>
      <c r="T60" s="59">
        <f t="shared" ca="1" si="16"/>
        <v>-227553.08062776108</v>
      </c>
      <c r="U60" s="60">
        <f t="shared" ca="1" si="13"/>
        <v>-1.1408599224558127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7">
        <v>46</v>
      </c>
      <c r="C61" s="57"/>
      <c r="D61" s="57"/>
      <c r="E61" s="58"/>
      <c r="F61" s="58"/>
      <c r="G61" s="59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-3975652.4527542107</v>
      </c>
      <c r="H61" s="60">
        <f t="shared" ca="1" si="6"/>
        <v>-19.93232759779692</v>
      </c>
      <c r="I61" s="74">
        <f t="shared" ca="1" si="8"/>
        <v>-13.952629318457843</v>
      </c>
      <c r="J61" s="57" t="str">
        <f t="shared" ca="1" si="9"/>
        <v/>
      </c>
      <c r="K61" s="57" t="str">
        <f t="shared" ca="1" si="19"/>
        <v/>
      </c>
      <c r="L61" t="str">
        <f t="shared" ca="1" si="20"/>
        <v/>
      </c>
      <c r="M61" s="61">
        <f t="shared" si="12"/>
        <v>6</v>
      </c>
      <c r="N61" t="str">
        <f t="shared" si="18"/>
        <v/>
      </c>
      <c r="R61" s="57">
        <v>46</v>
      </c>
      <c r="T61" s="59">
        <f t="shared" ca="1" si="16"/>
        <v>-268048.97264278046</v>
      </c>
      <c r="U61" s="60">
        <f t="shared" ca="1" si="13"/>
        <v>-1.3438900906107747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7">
        <v>47</v>
      </c>
      <c r="C62" s="57"/>
      <c r="D62" s="57"/>
      <c r="E62" s="58"/>
      <c r="F62" s="58"/>
      <c r="G62" s="59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-4128850.2638375438</v>
      </c>
      <c r="H62" s="60">
        <f t="shared" ca="1" si="6"/>
        <v>-20.700400007059699</v>
      </c>
      <c r="I62" s="74">
        <f t="shared" ca="1" si="8"/>
        <v>-14.490280004941788</v>
      </c>
      <c r="J62" s="57" t="str">
        <f t="shared" ca="1" si="9"/>
        <v/>
      </c>
      <c r="K62" s="57" t="str">
        <f t="shared" ca="1" si="19"/>
        <v/>
      </c>
      <c r="L62" t="str">
        <f t="shared" ca="1" si="20"/>
        <v/>
      </c>
      <c r="M62" s="61">
        <f t="shared" si="12"/>
        <v>7</v>
      </c>
      <c r="N62" t="str">
        <f t="shared" si="18"/>
        <v/>
      </c>
      <c r="R62" s="57">
        <v>47</v>
      </c>
      <c r="T62" s="59">
        <f t="shared" ca="1" si="16"/>
        <v>-308544.86465779983</v>
      </c>
      <c r="U62" s="60">
        <f t="shared" ca="1" si="13"/>
        <v>-1.5469202587657367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7">
        <v>48</v>
      </c>
      <c r="C63" s="57"/>
      <c r="D63" s="57"/>
      <c r="E63" s="58"/>
      <c r="F63" s="58"/>
      <c r="G63" s="59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-3382048.0749208773</v>
      </c>
      <c r="H63" s="60">
        <f t="shared" ca="1" si="6"/>
        <v>-16.956233217549062</v>
      </c>
      <c r="I63" s="74">
        <f t="shared" ca="1" si="8"/>
        <v>-11.869363252284343</v>
      </c>
      <c r="J63" s="57" t="str">
        <f ca="1">_xlfn.IFS(AND(K63&gt;0,K63&lt;34),"НЕУРОЖАЙ",AND(L63&gt;0,L63&lt;11),"РЕКОРД",NOT(M63=0),"",AND(K63&gt;33,L63&gt;10),"ОБЫЧНЫЙ")</f>
        <v>ОБЫЧНЫЙ</v>
      </c>
      <c r="K63" s="57">
        <f t="shared" ca="1" si="19"/>
        <v>86</v>
      </c>
      <c r="L63">
        <f t="shared" ca="1" si="20"/>
        <v>39</v>
      </c>
      <c r="M63" s="61">
        <f t="shared" si="12"/>
        <v>0</v>
      </c>
      <c r="N63">
        <f ca="1">IF(M63=0,IF(J55="НЕУРОЖАЙ",1,N55+33),"")</f>
        <v>1</v>
      </c>
      <c r="R63" s="57">
        <v>48</v>
      </c>
      <c r="T63" s="59">
        <f t="shared" ca="1" si="16"/>
        <v>-349040.7566728192</v>
      </c>
      <c r="U63" s="60">
        <f t="shared" ca="1" si="13"/>
        <v>-1.7499504269206989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7">
        <v>49</v>
      </c>
      <c r="T64" s="59">
        <f t="shared" ca="1" si="16"/>
        <v>-389536.64868783858</v>
      </c>
      <c r="U64" s="60">
        <f t="shared" ca="1" si="13"/>
        <v>-1.9529805950756609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7">
        <v>50</v>
      </c>
      <c r="T65" s="59">
        <f t="shared" ca="1" si="16"/>
        <v>-430032.54070285795</v>
      </c>
      <c r="U65" s="60">
        <f t="shared" ca="1" si="13"/>
        <v>-2.1560107632306229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7">
        <v>51</v>
      </c>
      <c r="T66" s="59">
        <f t="shared" ca="1" si="16"/>
        <v>-470528.43271787732</v>
      </c>
      <c r="U66" s="60">
        <f t="shared" ca="1" si="13"/>
        <v>-2.3590409313855849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7">
        <v>52</v>
      </c>
      <c r="T67" s="59">
        <f t="shared" ca="1" si="16"/>
        <v>-511024.3247328967</v>
      </c>
      <c r="U67" s="60">
        <f t="shared" ca="1" si="13"/>
        <v>-2.5620710995405469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7">
        <v>53</v>
      </c>
      <c r="T68" s="59">
        <f t="shared" ca="1" si="16"/>
        <v>-551520.21674791607</v>
      </c>
      <c r="U68" s="60">
        <f t="shared" ca="1" si="13"/>
        <v>-2.7651012676955089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7">
        <v>54</v>
      </c>
      <c r="T69" s="59">
        <f t="shared" ca="1" si="16"/>
        <v>-592016.10876293539</v>
      </c>
      <c r="U69" s="60">
        <f t="shared" ca="1" si="13"/>
        <v>-2.9681314358504709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7">
        <v>55</v>
      </c>
      <c r="T70" s="59">
        <f t="shared" ca="1" si="16"/>
        <v>-632512.0007779547</v>
      </c>
      <c r="U70" s="60">
        <f t="shared" ca="1" si="13"/>
        <v>-3.1711616040054325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7">
        <v>56</v>
      </c>
      <c r="T71" s="59">
        <f t="shared" ca="1" si="16"/>
        <v>-673007.89279297402</v>
      </c>
      <c r="U71" s="60">
        <f t="shared" ca="1" si="13"/>
        <v>-3.3741917721603945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7">
        <v>57</v>
      </c>
      <c r="T72" s="59">
        <f t="shared" ca="1" si="16"/>
        <v>-713503.78480799333</v>
      </c>
      <c r="U72" s="60">
        <f t="shared" ca="1" si="13"/>
        <v>-3.577221940315356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7">
        <v>58</v>
      </c>
      <c r="T73" s="59">
        <f t="shared" ca="1" si="16"/>
        <v>-753999.67682301265</v>
      </c>
      <c r="U73" s="60">
        <f t="shared" ca="1" si="13"/>
        <v>-3.7802521084703176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7">
        <v>59</v>
      </c>
      <c r="T74" s="59">
        <f t="shared" ca="1" si="16"/>
        <v>-794495.56883803196</v>
      </c>
      <c r="U74" s="60">
        <f t="shared" ca="1" si="13"/>
        <v>-3.9832822766252796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7">
        <v>60</v>
      </c>
      <c r="T75" s="59">
        <f t="shared" ca="1" si="16"/>
        <v>-834991.46085305128</v>
      </c>
      <c r="U75" s="60">
        <f t="shared" ca="1" si="13"/>
        <v>-4.1863124447802411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7">
        <v>61</v>
      </c>
      <c r="T76" s="59">
        <f t="shared" ca="1" si="16"/>
        <v>-875487.35286807059</v>
      </c>
      <c r="U76" s="60">
        <f t="shared" ca="1" si="13"/>
        <v>-4.3893426129352031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7">
        <v>62</v>
      </c>
      <c r="T77" s="59">
        <f t="shared" ca="1" si="16"/>
        <v>-915983.24488308991</v>
      </c>
      <c r="U77" s="60">
        <f t="shared" ca="1" si="13"/>
        <v>-4.5923727810901651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9">
        <v>5555555</v>
      </c>
      <c r="F78" s="45">
        <f>E78*0.3</f>
        <v>1666666.5</v>
      </c>
      <c r="R78" s="57">
        <v>63</v>
      </c>
      <c r="T78" s="59">
        <f t="shared" ca="1" si="16"/>
        <v>-956479.13689810922</v>
      </c>
      <c r="U78" s="60">
        <f t="shared" ca="1" si="13"/>
        <v>-4.7954029492451262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5">
        <f>E78+1234567</f>
        <v>6790122</v>
      </c>
      <c r="F79" s="45">
        <f>E79-F78</f>
        <v>5123455.5</v>
      </c>
      <c r="R79" s="57">
        <v>64</v>
      </c>
      <c r="T79" s="59">
        <f t="shared" ca="1" si="16"/>
        <v>-771975.02891312854</v>
      </c>
      <c r="U79" s="60">
        <f t="shared" ca="1" si="13"/>
        <v>-3.8703733177067341</v>
      </c>
      <c r="V79">
        <f t="shared" si="17"/>
        <v>16</v>
      </c>
      <c r="W79">
        <f t="shared" si="14"/>
        <v>0</v>
      </c>
      <c r="X79">
        <f t="shared" si="15"/>
        <v>0</v>
      </c>
      <c r="Y79" s="57" t="str">
        <f ca="1">J31</f>
        <v>НЕУРОЖАЙ</v>
      </c>
      <c r="Z79" s="57">
        <f ca="1">K31</f>
        <v>31</v>
      </c>
      <c r="AA79" s="57">
        <f ca="1">N31</f>
        <v>67</v>
      </c>
    </row>
    <row r="80" spans="5:27" x14ac:dyDescent="0.25">
      <c r="R80" s="57">
        <v>65</v>
      </c>
      <c r="T80" s="59">
        <f t="shared" ca="1" si="16"/>
        <v>-812470.92092814785</v>
      </c>
      <c r="U80" s="60">
        <f t="shared" ca="1" si="13"/>
        <v>-4.0734034858616956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7">
        <v>66</v>
      </c>
      <c r="T81" s="59">
        <f t="shared" ca="1" si="16"/>
        <v>-852966.81294316717</v>
      </c>
      <c r="U81" s="60">
        <f t="shared" ref="U81:U144" ca="1" si="21">T81/$O$3</f>
        <v>-4.2764336540166576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7">
        <v>67</v>
      </c>
      <c r="T82" s="59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-893462.70495818648</v>
      </c>
      <c r="U82" s="60">
        <f t="shared" ca="1" si="21"/>
        <v>-4.4794638221716188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7">
        <v>68</v>
      </c>
      <c r="T83" s="59">
        <f t="shared" ca="1" si="24"/>
        <v>-933958.5969732058</v>
      </c>
      <c r="U83" s="60">
        <f t="shared" ca="1" si="21"/>
        <v>-4.6824939903265808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7">
        <v>69</v>
      </c>
      <c r="T84" s="59">
        <f t="shared" ca="1" si="24"/>
        <v>-974454.48898822512</v>
      </c>
      <c r="U84" s="60">
        <f t="shared" ca="1" si="21"/>
        <v>-4.8855241584815428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7">
        <v>70</v>
      </c>
      <c r="T85" s="59">
        <f t="shared" ca="1" si="24"/>
        <v>-1014950.3810032444</v>
      </c>
      <c r="U85" s="60">
        <f t="shared" ca="1" si="21"/>
        <v>-5.0885543266365048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7">
        <v>71</v>
      </c>
      <c r="T86" s="59">
        <f t="shared" ca="1" si="24"/>
        <v>-1055446.2730182637</v>
      </c>
      <c r="U86" s="60">
        <f t="shared" ca="1" si="21"/>
        <v>-5.2915844947914659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7">
        <v>72</v>
      </c>
      <c r="T87" s="59">
        <f t="shared" ca="1" si="24"/>
        <v>-1095942.1650332832</v>
      </c>
      <c r="U87" s="60">
        <f t="shared" ca="1" si="21"/>
        <v>-5.4946146629464288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7">
        <v>73</v>
      </c>
      <c r="T88" s="59">
        <f t="shared" ca="1" si="24"/>
        <v>-1136438.0570483026</v>
      </c>
      <c r="U88" s="60">
        <f t="shared" ca="1" si="21"/>
        <v>-5.6976448311013907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7">
        <v>74</v>
      </c>
      <c r="T89" s="59">
        <f t="shared" ca="1" si="24"/>
        <v>-1176933.949063322</v>
      </c>
      <c r="U89" s="60">
        <f t="shared" ca="1" si="21"/>
        <v>-5.9006749992563527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7">
        <v>75</v>
      </c>
      <c r="T90" s="59">
        <f t="shared" ca="1" si="24"/>
        <v>-1217429.8410783415</v>
      </c>
      <c r="U90" s="60">
        <f t="shared" ca="1" si="21"/>
        <v>-6.1037051674113156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7">
        <v>76</v>
      </c>
      <c r="T91" s="59">
        <f t="shared" ca="1" si="24"/>
        <v>-1257925.7330933609</v>
      </c>
      <c r="U91" s="60">
        <f t="shared" ca="1" si="21"/>
        <v>-6.3067353355662776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7">
        <v>77</v>
      </c>
      <c r="T92" s="59">
        <f t="shared" ca="1" si="24"/>
        <v>-1298421.6251083803</v>
      </c>
      <c r="U92" s="60">
        <f t="shared" ca="1" si="21"/>
        <v>-6.5097655037212405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7">
        <v>78</v>
      </c>
      <c r="T93" s="59">
        <f t="shared" ca="1" si="24"/>
        <v>-1338917.5171233998</v>
      </c>
      <c r="U93" s="60">
        <f t="shared" ca="1" si="21"/>
        <v>-6.7127956718762025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7">
        <v>79</v>
      </c>
      <c r="T94" s="59">
        <f t="shared" ca="1" si="24"/>
        <v>-1379413.4091384192</v>
      </c>
      <c r="U94" s="60">
        <f t="shared" ca="1" si="21"/>
        <v>-6.9158258400311645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7">
        <v>80</v>
      </c>
      <c r="T95" s="59">
        <f t="shared" ca="1" si="24"/>
        <v>-1419909.3011534386</v>
      </c>
      <c r="U95" s="60">
        <f t="shared" ca="1" si="21"/>
        <v>-7.1188560081861274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7">
        <v>81</v>
      </c>
      <c r="T96" s="59">
        <f t="shared" ca="1" si="24"/>
        <v>-1460405.1931684581</v>
      </c>
      <c r="U96" s="60">
        <f t="shared" ca="1" si="21"/>
        <v>-7.3218861763410894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7">
        <v>82</v>
      </c>
      <c r="T97" s="59">
        <f t="shared" ca="1" si="24"/>
        <v>-1500901.0851834775</v>
      </c>
      <c r="U97" s="60">
        <f t="shared" ca="1" si="21"/>
        <v>-7.5249163444960514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7">
        <v>83</v>
      </c>
      <c r="T98" s="59">
        <f t="shared" ca="1" si="24"/>
        <v>-1541396.9771984969</v>
      </c>
      <c r="U98" s="60">
        <f t="shared" ca="1" si="21"/>
        <v>-7.7279465126510143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7">
        <v>84</v>
      </c>
      <c r="T99" s="59">
        <f t="shared" ca="1" si="24"/>
        <v>-1581892.8692135164</v>
      </c>
      <c r="U99" s="60">
        <f t="shared" ca="1" si="21"/>
        <v>-7.9309766808059763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7">
        <v>85</v>
      </c>
      <c r="T100" s="59">
        <f t="shared" ca="1" si="24"/>
        <v>-1622388.7612285358</v>
      </c>
      <c r="U100" s="60">
        <f t="shared" ca="1" si="21"/>
        <v>-8.1340068489609383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7">
        <v>86</v>
      </c>
      <c r="T101" s="59">
        <f t="shared" ca="1" si="24"/>
        <v>-1662884.6532435552</v>
      </c>
      <c r="U101" s="60">
        <f t="shared" ca="1" si="21"/>
        <v>-8.3370370171159003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7">
        <v>87</v>
      </c>
      <c r="T102" s="59">
        <f t="shared" ca="1" si="24"/>
        <v>-1703380.5452585747</v>
      </c>
      <c r="U102" s="60">
        <f t="shared" ca="1" si="21"/>
        <v>-8.5400671852708641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7">
        <v>88</v>
      </c>
      <c r="T103" s="59">
        <f t="shared" ca="1" si="24"/>
        <v>-1743876.4372735941</v>
      </c>
      <c r="U103" s="60">
        <f t="shared" ca="1" si="21"/>
        <v>-8.7430973534258261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7">
        <v>89</v>
      </c>
      <c r="T104" s="59">
        <f t="shared" ca="1" si="24"/>
        <v>-1784372.3292886135</v>
      </c>
      <c r="U104" s="60">
        <f t="shared" ca="1" si="21"/>
        <v>-8.9461275215807881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7">
        <v>90</v>
      </c>
      <c r="T105" s="59">
        <f t="shared" ca="1" si="24"/>
        <v>-1824868.2213036329</v>
      </c>
      <c r="U105" s="60">
        <f t="shared" ca="1" si="21"/>
        <v>-9.1491576897357501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7">
        <v>91</v>
      </c>
      <c r="T106" s="59">
        <f t="shared" ca="1" si="24"/>
        <v>-1865364.1133186524</v>
      </c>
      <c r="U106" s="60">
        <f t="shared" ca="1" si="21"/>
        <v>-9.3521878578907121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7">
        <v>92</v>
      </c>
      <c r="T107" s="59">
        <f t="shared" ca="1" si="24"/>
        <v>-1905860.0053336718</v>
      </c>
      <c r="U107" s="60">
        <f t="shared" ca="1" si="21"/>
        <v>-9.5552180260456758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7">
        <v>93</v>
      </c>
      <c r="T108" s="59">
        <f t="shared" ca="1" si="24"/>
        <v>-1946355.8973486912</v>
      </c>
      <c r="U108" s="60">
        <f t="shared" ca="1" si="21"/>
        <v>-9.7582481942006378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7">
        <v>94</v>
      </c>
      <c r="T109" s="59">
        <f t="shared" ca="1" si="24"/>
        <v>-1986851.7893637107</v>
      </c>
      <c r="U109" s="60">
        <f t="shared" ca="1" si="21"/>
        <v>-9.9612783623555998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7">
        <v>95</v>
      </c>
      <c r="T110" s="59">
        <f t="shared" ca="1" si="24"/>
        <v>-2027347.6813787301</v>
      </c>
      <c r="U110" s="60">
        <f t="shared" ca="1" si="21"/>
        <v>-10.164308530510562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7">
        <v>96</v>
      </c>
      <c r="T111" s="59">
        <f t="shared" ca="1" si="24"/>
        <v>-1842843.5733937495</v>
      </c>
      <c r="U111" s="60">
        <f t="shared" ca="1" si="21"/>
        <v>-9.2392788989721701</v>
      </c>
      <c r="V111">
        <f t="shared" si="25"/>
        <v>24</v>
      </c>
      <c r="W111">
        <f t="shared" si="22"/>
        <v>0</v>
      </c>
      <c r="X111">
        <f t="shared" si="26"/>
        <v>0</v>
      </c>
      <c r="Y111" s="57" t="str">
        <f ca="1">J39</f>
        <v>НЕУРОЖАЙ</v>
      </c>
      <c r="Z111" s="57">
        <f ca="1">K39</f>
        <v>8</v>
      </c>
      <c r="AA111" s="57">
        <f ca="1">N39</f>
        <v>1</v>
      </c>
    </row>
    <row r="112" spans="18:27" x14ac:dyDescent="0.25">
      <c r="R112" s="57">
        <v>97</v>
      </c>
      <c r="T112" s="59">
        <f t="shared" ca="1" si="24"/>
        <v>-1883339.465408769</v>
      </c>
      <c r="U112" s="60">
        <f t="shared" ca="1" si="21"/>
        <v>-9.4423090671271321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7">
        <v>98</v>
      </c>
      <c r="T113" s="59">
        <f t="shared" ca="1" si="24"/>
        <v>-1923835.3574237884</v>
      </c>
      <c r="U113" s="60">
        <f t="shared" ca="1" si="21"/>
        <v>-9.6453392352820941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7">
        <v>99</v>
      </c>
      <c r="T114" s="59">
        <f t="shared" ca="1" si="24"/>
        <v>-1964331.2494388078</v>
      </c>
      <c r="U114" s="60">
        <f t="shared" ca="1" si="21"/>
        <v>-9.8483694034370579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7">
        <v>100</v>
      </c>
      <c r="T115" s="59">
        <f t="shared" ca="1" si="24"/>
        <v>-2004827.1414538273</v>
      </c>
      <c r="U115" s="60">
        <f t="shared" ca="1" si="21"/>
        <v>-10.05139957159202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7">
        <v>101</v>
      </c>
      <c r="T116" s="59">
        <f t="shared" ca="1" si="24"/>
        <v>-2045323.0334688467</v>
      </c>
      <c r="U116" s="60">
        <f t="shared" ca="1" si="21"/>
        <v>-10.254429739746982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7">
        <v>102</v>
      </c>
      <c r="T117" s="59">
        <f t="shared" ca="1" si="24"/>
        <v>-2085818.9254838661</v>
      </c>
      <c r="U117" s="60">
        <f t="shared" ca="1" si="21"/>
        <v>-10.457459907901944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7">
        <v>103</v>
      </c>
      <c r="T118" s="59">
        <f t="shared" ca="1" si="24"/>
        <v>-2126314.8174988856</v>
      </c>
      <c r="U118" s="60">
        <f t="shared" ca="1" si="21"/>
        <v>-10.660490076056906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7">
        <v>104</v>
      </c>
      <c r="T119" s="59">
        <f t="shared" ca="1" si="24"/>
        <v>-2166810.709513905</v>
      </c>
      <c r="U119" s="60">
        <f t="shared" ca="1" si="21"/>
        <v>-10.863520244211868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7">
        <v>105</v>
      </c>
      <c r="T120" s="59">
        <f t="shared" ca="1" si="24"/>
        <v>-2207306.6015289244</v>
      </c>
      <c r="U120" s="60">
        <f t="shared" ca="1" si="21"/>
        <v>-11.066550412366832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7">
        <v>106</v>
      </c>
      <c r="T121" s="59">
        <f t="shared" ca="1" si="24"/>
        <v>-2247802.4935439439</v>
      </c>
      <c r="U121" s="60">
        <f t="shared" ca="1" si="21"/>
        <v>-11.269580580521794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7">
        <v>107</v>
      </c>
      <c r="T122" s="59">
        <f t="shared" ca="1" si="24"/>
        <v>-2288298.3855589633</v>
      </c>
      <c r="U122" s="60">
        <f t="shared" ca="1" si="21"/>
        <v>-11.472610748676756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7">
        <v>108</v>
      </c>
      <c r="T123" s="59">
        <f t="shared" ca="1" si="24"/>
        <v>-2328794.2775739827</v>
      </c>
      <c r="U123" s="60">
        <f t="shared" ca="1" si="21"/>
        <v>-11.675640916831718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7">
        <v>109</v>
      </c>
      <c r="T124" s="59">
        <f t="shared" ca="1" si="24"/>
        <v>-2369290.1695890022</v>
      </c>
      <c r="U124" s="60">
        <f t="shared" ca="1" si="21"/>
        <v>-11.87867108498668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7">
        <v>110</v>
      </c>
      <c r="T125" s="59">
        <f t="shared" ca="1" si="24"/>
        <v>-2409786.0616040216</v>
      </c>
      <c r="U125" s="60">
        <f t="shared" ca="1" si="21"/>
        <v>-12.081701253141643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7">
        <v>111</v>
      </c>
      <c r="T126" s="59">
        <f t="shared" ca="1" si="24"/>
        <v>-2450281.953619041</v>
      </c>
      <c r="U126" s="60">
        <f t="shared" ca="1" si="21"/>
        <v>-12.284731421296605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7">
        <v>112</v>
      </c>
      <c r="T127" s="59">
        <f t="shared" ca="1" si="24"/>
        <v>-2490777.8456340604</v>
      </c>
      <c r="U127" s="60">
        <f t="shared" ca="1" si="21"/>
        <v>-12.487761589451567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7">
        <v>113</v>
      </c>
      <c r="T128" s="59">
        <f t="shared" ca="1" si="24"/>
        <v>-2531273.7376490799</v>
      </c>
      <c r="U128" s="60">
        <f t="shared" ca="1" si="21"/>
        <v>-12.690791757606529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7">
        <v>114</v>
      </c>
      <c r="T129" s="59">
        <f t="shared" ca="1" si="24"/>
        <v>-2571769.6296640993</v>
      </c>
      <c r="U129" s="60">
        <f t="shared" ca="1" si="21"/>
        <v>-12.893821925761491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7">
        <v>115</v>
      </c>
      <c r="T130" s="59">
        <f t="shared" ca="1" si="24"/>
        <v>-2612265.5216791187</v>
      </c>
      <c r="U130" s="60">
        <f t="shared" ca="1" si="21"/>
        <v>-13.096852093916455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7">
        <v>116</v>
      </c>
      <c r="T131" s="59">
        <f t="shared" ca="1" si="24"/>
        <v>-2652761.4136941382</v>
      </c>
      <c r="U131" s="60">
        <f t="shared" ca="1" si="21"/>
        <v>-13.299882262071417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7">
        <v>117</v>
      </c>
      <c r="T132" s="59">
        <f t="shared" ca="1" si="24"/>
        <v>-2693257.3057091576</v>
      </c>
      <c r="U132" s="60">
        <f t="shared" ca="1" si="21"/>
        <v>-13.502912430226379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7">
        <v>118</v>
      </c>
      <c r="T133" s="59">
        <f t="shared" ca="1" si="24"/>
        <v>-2733753.197724177</v>
      </c>
      <c r="U133" s="60">
        <f t="shared" ca="1" si="21"/>
        <v>-13.705942598381341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7">
        <v>119</v>
      </c>
      <c r="T134" s="59">
        <f t="shared" ca="1" si="24"/>
        <v>-2774249.0897391965</v>
      </c>
      <c r="U134" s="60">
        <f t="shared" ca="1" si="21"/>
        <v>-13.908972766536303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7">
        <v>120</v>
      </c>
      <c r="T135" s="59">
        <f t="shared" ca="1" si="24"/>
        <v>-2814744.9817542159</v>
      </c>
      <c r="U135" s="60">
        <f t="shared" ca="1" si="21"/>
        <v>-14.112002934691265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7">
        <v>121</v>
      </c>
      <c r="T136" s="59">
        <f t="shared" ca="1" si="24"/>
        <v>-2855240.8737692353</v>
      </c>
      <c r="U136" s="60">
        <f t="shared" ca="1" si="21"/>
        <v>-14.315033102846229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7">
        <v>122</v>
      </c>
      <c r="T137" s="59">
        <f t="shared" ca="1" si="24"/>
        <v>-2895736.7657842548</v>
      </c>
      <c r="U137" s="60">
        <f t="shared" ca="1" si="21"/>
        <v>-14.518063271001191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7">
        <v>123</v>
      </c>
      <c r="T138" s="59">
        <f t="shared" ca="1" si="24"/>
        <v>-2936232.6577992742</v>
      </c>
      <c r="U138" s="60">
        <f t="shared" ca="1" si="21"/>
        <v>-14.721093439156153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7">
        <v>124</v>
      </c>
      <c r="T139" s="59">
        <f t="shared" ca="1" si="24"/>
        <v>-2976728.5498142936</v>
      </c>
      <c r="U139" s="60">
        <f t="shared" ca="1" si="21"/>
        <v>-14.924123607311115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7">
        <v>125</v>
      </c>
      <c r="T140" s="59">
        <f t="shared" ca="1" si="24"/>
        <v>-3017224.4418293131</v>
      </c>
      <c r="U140" s="60">
        <f t="shared" ca="1" si="21"/>
        <v>-15.127153775466077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7">
        <v>126</v>
      </c>
      <c r="T141" s="59">
        <f t="shared" ca="1" si="24"/>
        <v>-3057720.3338443325</v>
      </c>
      <c r="U141" s="60">
        <f t="shared" ca="1" si="21"/>
        <v>-15.330183943621041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7">
        <v>127</v>
      </c>
      <c r="T142" s="59">
        <f t="shared" ca="1" si="24"/>
        <v>-3098216.2258593519</v>
      </c>
      <c r="U142" s="60">
        <f t="shared" ca="1" si="21"/>
        <v>-15.533214111776003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7">
        <v>128</v>
      </c>
      <c r="T143" s="59">
        <f t="shared" ca="1" si="24"/>
        <v>-2238712.1178743714</v>
      </c>
      <c r="U143" s="60">
        <f t="shared" ca="1" si="21"/>
        <v>-11.224005081157548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7">
        <v>129</v>
      </c>
      <c r="T144" s="59">
        <f t="shared" ca="1" si="24"/>
        <v>-2279208.0098893908</v>
      </c>
      <c r="U144" s="60">
        <f t="shared" ca="1" si="21"/>
        <v>-11.42703524931251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7">
        <v>130</v>
      </c>
      <c r="T145" s="59">
        <f t="shared" ca="1" si="24"/>
        <v>-2319703.9019044102</v>
      </c>
      <c r="U145" s="60">
        <f t="shared" ref="U145:U159" ca="1" si="27">T145/$O$3</f>
        <v>-11.630065417467472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7">
        <v>131</v>
      </c>
      <c r="T146" s="59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-2360199.7939194296</v>
      </c>
      <c r="U146" s="60">
        <f t="shared" ca="1" si="27"/>
        <v>-11.833095585622434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7">
        <v>132</v>
      </c>
      <c r="T147" s="59">
        <f t="shared" ca="1" si="29"/>
        <v>-2400695.6859344491</v>
      </c>
      <c r="U147" s="60">
        <f t="shared" ca="1" si="27"/>
        <v>-12.036125753777396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7">
        <v>133</v>
      </c>
      <c r="T148" s="59">
        <f t="shared" ca="1" si="29"/>
        <v>-2441191.5779494685</v>
      </c>
      <c r="U148" s="60">
        <f t="shared" ca="1" si="27"/>
        <v>-12.23915592193236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7">
        <v>134</v>
      </c>
      <c r="T149" s="59">
        <f t="shared" ca="1" si="29"/>
        <v>-2481687.4699644879</v>
      </c>
      <c r="U149" s="60">
        <f t="shared" ca="1" si="27"/>
        <v>-12.442186090087322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7">
        <v>135</v>
      </c>
      <c r="T150" s="59">
        <f t="shared" ca="1" si="29"/>
        <v>-2522183.3619795074</v>
      </c>
      <c r="U150" s="60">
        <f t="shared" ca="1" si="27"/>
        <v>-12.645216258242284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7">
        <v>136</v>
      </c>
      <c r="T151" s="59">
        <f t="shared" ca="1" si="29"/>
        <v>-2562679.2539945268</v>
      </c>
      <c r="U151" s="60">
        <f t="shared" ca="1" si="27"/>
        <v>-12.848246426397246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7">
        <v>137</v>
      </c>
      <c r="T152" s="59">
        <f t="shared" ca="1" si="29"/>
        <v>-2603175.1460095462</v>
      </c>
      <c r="U152" s="60">
        <f t="shared" ca="1" si="27"/>
        <v>-13.051276594552208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7">
        <v>138</v>
      </c>
      <c r="T153" s="59">
        <f t="shared" ca="1" si="29"/>
        <v>-2643671.0380245657</v>
      </c>
      <c r="U153" s="60">
        <f t="shared" ca="1" si="27"/>
        <v>-13.254306762707172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7">
        <v>139</v>
      </c>
      <c r="T154" s="59">
        <f t="shared" ca="1" si="29"/>
        <v>-2684166.9300395851</v>
      </c>
      <c r="U154" s="60">
        <f t="shared" ca="1" si="27"/>
        <v>-13.457336930862134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7">
        <v>140</v>
      </c>
      <c r="T155" s="59">
        <f t="shared" ca="1" si="29"/>
        <v>-2724662.8220546045</v>
      </c>
      <c r="U155" s="60">
        <f t="shared" ca="1" si="27"/>
        <v>-13.660367099017096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7">
        <v>141</v>
      </c>
      <c r="T156" s="59">
        <f t="shared" ca="1" si="29"/>
        <v>-2765158.714069624</v>
      </c>
      <c r="U156" s="60">
        <f t="shared" ca="1" si="27"/>
        <v>-13.863397267172058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7">
        <v>142</v>
      </c>
      <c r="T157" s="59">
        <f t="shared" ca="1" si="29"/>
        <v>-2805654.6060846434</v>
      </c>
      <c r="U157" s="60">
        <f t="shared" ca="1" si="27"/>
        <v>-14.06642743532702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7">
        <v>143</v>
      </c>
      <c r="T158" s="59">
        <f t="shared" ca="1" si="29"/>
        <v>-2846150.4980996628</v>
      </c>
      <c r="U158" s="60">
        <f t="shared" ca="1" si="27"/>
        <v>-14.269457603481982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7">
        <v>144</v>
      </c>
      <c r="T159" s="59">
        <f t="shared" ca="1" si="29"/>
        <v>-2886646.3901146823</v>
      </c>
      <c r="U159" s="60">
        <f t="shared" ca="1" si="27"/>
        <v>-14.472487771636946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1"/>
  <sheetViews>
    <sheetView tabSelected="1" zoomScale="115" zoomScaleNormal="115" workbookViewId="0">
      <pane xSplit="1" topLeftCell="B1" activePane="topRight" state="frozen"/>
      <selection pane="topRight" activeCell="J8" sqref="J8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9" bestFit="1" customWidth="1"/>
    <col min="6" max="6" width="6.42578125" bestFit="1" customWidth="1"/>
    <col min="7" max="7" width="7" bestFit="1" customWidth="1"/>
    <col min="8" max="8" width="7" customWidth="1"/>
    <col min="9" max="9" width="7.140625" bestFit="1" customWidth="1"/>
    <col min="10" max="10" width="5.7109375" bestFit="1" customWidth="1"/>
    <col min="11" max="11" width="10.42578125" customWidth="1"/>
    <col min="12" max="12" width="9.140625" bestFit="1" customWidth="1"/>
    <col min="13" max="13" width="5.28515625" bestFit="1" customWidth="1"/>
    <col min="14" max="14" width="4.8554687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6" customWidth="1"/>
    <col min="27" max="27" width="7.42578125" bestFit="1" customWidth="1"/>
  </cols>
  <sheetData>
    <row r="1" spans="1:27" ht="15.75" customHeight="1" thickBot="1" x14ac:dyDescent="0.3">
      <c r="A1" s="177" t="s">
        <v>9</v>
      </c>
      <c r="B1" s="169" t="s">
        <v>65</v>
      </c>
      <c r="C1" s="174" t="s">
        <v>62</v>
      </c>
      <c r="D1" s="170" t="s">
        <v>63</v>
      </c>
      <c r="E1" s="179" t="s">
        <v>64</v>
      </c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1"/>
      <c r="V1" s="169" t="s">
        <v>92</v>
      </c>
      <c r="W1" s="174"/>
      <c r="X1" s="174"/>
      <c r="Y1" s="170"/>
    </row>
    <row r="2" spans="1:27" ht="45.75" thickBot="1" x14ac:dyDescent="0.3">
      <c r="A2" s="178"/>
      <c r="B2" s="73" t="s">
        <v>69</v>
      </c>
      <c r="C2" s="72" t="s">
        <v>62</v>
      </c>
      <c r="D2" s="101" t="s">
        <v>63</v>
      </c>
      <c r="E2" s="52" t="s">
        <v>66</v>
      </c>
      <c r="F2" s="52" t="s">
        <v>67</v>
      </c>
      <c r="G2" s="52" t="s">
        <v>68</v>
      </c>
      <c r="H2" s="137" t="s">
        <v>104</v>
      </c>
      <c r="I2" s="52" t="s">
        <v>71</v>
      </c>
      <c r="J2" s="122" t="s">
        <v>72</v>
      </c>
      <c r="K2" s="52" t="s">
        <v>73</v>
      </c>
      <c r="L2" s="122" t="s">
        <v>74</v>
      </c>
      <c r="M2" s="52" t="s">
        <v>75</v>
      </c>
      <c r="N2" s="52" t="s">
        <v>76</v>
      </c>
      <c r="O2" s="52" t="s">
        <v>77</v>
      </c>
      <c r="P2" s="52" t="s">
        <v>78</v>
      </c>
      <c r="Q2" s="52" t="s">
        <v>79</v>
      </c>
      <c r="R2" s="52" t="s">
        <v>80</v>
      </c>
      <c r="S2" s="122" t="s">
        <v>81</v>
      </c>
      <c r="T2" s="52" t="s">
        <v>47</v>
      </c>
      <c r="U2" s="52" t="s">
        <v>90</v>
      </c>
      <c r="V2" s="52" t="s">
        <v>84</v>
      </c>
      <c r="W2" s="52" t="s">
        <v>83</v>
      </c>
      <c r="X2" s="102" t="s">
        <v>82</v>
      </c>
      <c r="Y2" s="102" t="s">
        <v>94</v>
      </c>
      <c r="AA2" s="135" t="s">
        <v>101</v>
      </c>
    </row>
    <row r="3" spans="1:27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8</v>
      </c>
      <c r="J3" s="123">
        <v>3</v>
      </c>
      <c r="K3" s="123"/>
      <c r="L3" s="123"/>
      <c r="M3" s="123"/>
      <c r="N3" s="123"/>
      <c r="O3" s="123"/>
      <c r="P3" s="123"/>
      <c r="Q3" s="123"/>
      <c r="R3" s="123"/>
      <c r="S3" s="123"/>
      <c r="T3" s="118">
        <f>Провиант!B3</f>
        <v>3</v>
      </c>
      <c r="U3" s="118">
        <f>Провиант!C3</f>
        <v>3</v>
      </c>
      <c r="V3" s="121">
        <f>IF($AA$2=$AA$12,SUMPRODUCT(E3:U3,$E$12:$U$12),SUMPRODUCT(E3:U3,$E$13:$U$13))</f>
        <v>96.75</v>
      </c>
      <c r="W3" s="121">
        <f>IF($AA$2=$AA$12,SUMPRODUCT(B3:D3,$B$12:$D$12),SUMPRODUCT(B3:D3,$B$13:$D$13))</f>
        <v>60</v>
      </c>
      <c r="X3" s="123">
        <f>W3-V3</f>
        <v>-36.75</v>
      </c>
      <c r="Y3" s="128">
        <f>W3/V3</f>
        <v>0.62015503875968991</v>
      </c>
    </row>
    <row r="4" spans="1:27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14</v>
      </c>
      <c r="J4" s="82">
        <v>10</v>
      </c>
      <c r="K4" s="82">
        <v>2</v>
      </c>
      <c r="L4" s="82">
        <v>5</v>
      </c>
      <c r="M4" s="82"/>
      <c r="N4" s="82"/>
      <c r="O4" s="82"/>
      <c r="P4" s="82"/>
      <c r="Q4" s="82"/>
      <c r="R4" s="82"/>
      <c r="S4" s="82"/>
      <c r="T4" s="124">
        <f>Провиант!B4</f>
        <v>5</v>
      </c>
      <c r="U4" s="124">
        <f>Провиант!C4</f>
        <v>10</v>
      </c>
      <c r="V4" s="124">
        <f t="shared" ref="V4:V11" si="0">IF($AA$2=$AA$12,SUMPRODUCT(E4:U4,$E$12:$U$12),SUMPRODUCT(E4:U4,$E$13:$U$13))</f>
        <v>220.75</v>
      </c>
      <c r="W4" s="124">
        <f t="shared" ref="W4:W11" si="1">IF($AA$2=$AA$12,SUMPRODUCT(B4:D4,$B$12:$D$12),SUMPRODUCT(B4:D4,$B$13:$D$13))</f>
        <v>180</v>
      </c>
      <c r="X4" s="82">
        <f t="shared" ref="X4:X11" si="2">W4-V4</f>
        <v>-40.75</v>
      </c>
      <c r="Y4" s="129">
        <f t="shared" ref="Y4:Y11" si="3">W4/V4</f>
        <v>0.81540203850509629</v>
      </c>
    </row>
    <row r="5" spans="1:27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>
        <v>7</v>
      </c>
      <c r="K5" s="81"/>
      <c r="L5" s="81">
        <v>7</v>
      </c>
      <c r="M5" s="81"/>
      <c r="N5" s="81"/>
      <c r="O5" s="81"/>
      <c r="P5" s="81"/>
      <c r="Q5" s="81"/>
      <c r="R5" s="81"/>
      <c r="S5" s="81"/>
      <c r="T5" s="121">
        <f>Провиант!B5</f>
        <v>8</v>
      </c>
      <c r="U5" s="121">
        <f>Провиант!C5</f>
        <v>8</v>
      </c>
      <c r="V5" s="121">
        <f t="shared" si="0"/>
        <v>258</v>
      </c>
      <c r="W5" s="121">
        <f t="shared" si="1"/>
        <v>270</v>
      </c>
      <c r="X5" s="81">
        <f t="shared" si="2"/>
        <v>12</v>
      </c>
      <c r="Y5" s="130">
        <f t="shared" si="3"/>
        <v>1.0465116279069768</v>
      </c>
    </row>
    <row r="6" spans="1:27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16</v>
      </c>
      <c r="J6" s="82">
        <v>5</v>
      </c>
      <c r="K6" s="82"/>
      <c r="L6" s="82">
        <v>2</v>
      </c>
      <c r="M6" s="82"/>
      <c r="N6" s="82"/>
      <c r="O6" s="82"/>
      <c r="P6" s="82"/>
      <c r="Q6" s="82"/>
      <c r="R6" s="82"/>
      <c r="S6" s="82"/>
      <c r="T6" s="124">
        <f>Провиант!B6</f>
        <v>5</v>
      </c>
      <c r="U6" s="124">
        <f>Провиант!C6</f>
        <v>20</v>
      </c>
      <c r="V6" s="124">
        <f t="shared" si="0"/>
        <v>180.25</v>
      </c>
      <c r="W6" s="124">
        <f t="shared" si="1"/>
        <v>180</v>
      </c>
      <c r="X6" s="82">
        <f t="shared" si="2"/>
        <v>-0.25</v>
      </c>
      <c r="Y6" s="129">
        <f t="shared" si="3"/>
        <v>0.9986130374479889</v>
      </c>
    </row>
    <row r="7" spans="1:27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29</v>
      </c>
      <c r="J7" s="81">
        <v>7</v>
      </c>
      <c r="K7" s="81"/>
      <c r="L7" s="81">
        <v>7</v>
      </c>
      <c r="M7" s="81"/>
      <c r="N7" s="81"/>
      <c r="O7" s="81"/>
      <c r="P7" s="81"/>
      <c r="Q7" s="81"/>
      <c r="R7" s="81"/>
      <c r="S7" s="81"/>
      <c r="T7" s="121">
        <f>Провиант!B7</f>
        <v>10</v>
      </c>
      <c r="U7" s="121">
        <f>Провиант!C7</f>
        <v>15</v>
      </c>
      <c r="V7" s="121">
        <f t="shared" si="0"/>
        <v>324</v>
      </c>
      <c r="W7" s="121">
        <f t="shared" si="1"/>
        <v>330</v>
      </c>
      <c r="X7" s="81">
        <f t="shared" si="2"/>
        <v>6</v>
      </c>
      <c r="Y7" s="130">
        <f t="shared" si="3"/>
        <v>1.0185185185185186</v>
      </c>
    </row>
    <row r="8" spans="1:27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26</v>
      </c>
      <c r="J8" s="82">
        <v>6</v>
      </c>
      <c r="K8" s="82"/>
      <c r="L8" s="82">
        <v>3</v>
      </c>
      <c r="M8" s="82"/>
      <c r="N8" s="82"/>
      <c r="O8" s="82"/>
      <c r="P8" s="82"/>
      <c r="Q8" s="82"/>
      <c r="R8" s="82"/>
      <c r="S8" s="82"/>
      <c r="T8" s="124">
        <f>Провиант!B8</f>
        <v>6</v>
      </c>
      <c r="U8" s="124">
        <f>Провиант!C8</f>
        <v>23</v>
      </c>
      <c r="V8" s="124">
        <f t="shared" si="0"/>
        <v>306.5</v>
      </c>
      <c r="W8" s="124">
        <f t="shared" si="1"/>
        <v>360</v>
      </c>
      <c r="X8" s="82">
        <f t="shared" si="2"/>
        <v>53.5</v>
      </c>
      <c r="Y8" s="129">
        <f t="shared" si="3"/>
        <v>1.1745513866231647</v>
      </c>
    </row>
    <row r="9" spans="1:27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6</v>
      </c>
      <c r="J9" s="81">
        <v>2</v>
      </c>
      <c r="K9" s="81"/>
      <c r="L9" s="81"/>
      <c r="M9" s="81"/>
      <c r="N9" s="81"/>
      <c r="O9" s="81"/>
      <c r="P9" s="81"/>
      <c r="Q9" s="81"/>
      <c r="R9" s="81"/>
      <c r="S9" s="81"/>
      <c r="T9" s="121">
        <f>Провиант!B9</f>
        <v>4</v>
      </c>
      <c r="U9" s="121">
        <f>Провиант!C9</f>
        <v>4</v>
      </c>
      <c r="V9" s="121">
        <f t="shared" si="0"/>
        <v>82.5</v>
      </c>
      <c r="W9" s="121">
        <f t="shared" si="1"/>
        <v>120</v>
      </c>
      <c r="X9" s="81">
        <f t="shared" si="2"/>
        <v>37.5</v>
      </c>
      <c r="Y9" s="130">
        <f t="shared" si="3"/>
        <v>1.4545454545454546</v>
      </c>
    </row>
    <row r="10" spans="1:27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>
        <v>4</v>
      </c>
      <c r="J10" s="82">
        <v>4</v>
      </c>
      <c r="K10" s="82"/>
      <c r="L10" s="82">
        <v>2</v>
      </c>
      <c r="M10" s="82"/>
      <c r="N10" s="82"/>
      <c r="O10" s="82"/>
      <c r="P10" s="82"/>
      <c r="Q10" s="82"/>
      <c r="R10" s="82"/>
      <c r="S10" s="82"/>
      <c r="T10" s="124">
        <f>Провиант!B10</f>
        <v>3</v>
      </c>
      <c r="U10" s="124">
        <f>Провиант!C10</f>
        <v>7</v>
      </c>
      <c r="V10" s="124">
        <f t="shared" si="0"/>
        <v>51.25</v>
      </c>
      <c r="W10" s="124">
        <f t="shared" si="1"/>
        <v>60</v>
      </c>
      <c r="X10" s="82">
        <f t="shared" si="2"/>
        <v>8.75</v>
      </c>
      <c r="Y10" s="129">
        <f t="shared" si="3"/>
        <v>1.1707317073170731</v>
      </c>
    </row>
    <row r="11" spans="1:27" ht="15.75" thickBot="1" x14ac:dyDescent="0.3">
      <c r="A11" s="93" t="s">
        <v>3</v>
      </c>
      <c r="B11" s="12">
        <v>1</v>
      </c>
      <c r="C11" s="13"/>
      <c r="D11" s="99"/>
      <c r="E11" s="86">
        <f>База!I11</f>
        <v>3</v>
      </c>
      <c r="F11" s="89">
        <f>База!J11</f>
        <v>2</v>
      </c>
      <c r="G11" s="99">
        <f>База!K11</f>
        <v>0</v>
      </c>
      <c r="H11" s="99">
        <f>База!M11</f>
        <v>0</v>
      </c>
      <c r="I11" s="89">
        <v>4</v>
      </c>
      <c r="J11" s="89">
        <v>5</v>
      </c>
      <c r="K11" s="89"/>
      <c r="L11" s="89">
        <v>1</v>
      </c>
      <c r="M11" s="89"/>
      <c r="N11" s="89"/>
      <c r="O11" s="89"/>
      <c r="P11" s="89"/>
      <c r="Q11" s="89"/>
      <c r="R11" s="89"/>
      <c r="S11" s="89"/>
      <c r="T11" s="125">
        <f>Провиант!B11</f>
        <v>15</v>
      </c>
      <c r="U11" s="125">
        <f>Провиант!C11</f>
        <v>20</v>
      </c>
      <c r="V11" s="125">
        <f t="shared" si="0"/>
        <v>55.25</v>
      </c>
      <c r="W11" s="125">
        <f t="shared" si="1"/>
        <v>60</v>
      </c>
      <c r="X11" s="89">
        <f t="shared" si="2"/>
        <v>4.75</v>
      </c>
      <c r="Y11" s="131">
        <f t="shared" si="3"/>
        <v>1.0859728506787329</v>
      </c>
    </row>
    <row r="12" spans="1:27" x14ac:dyDescent="0.25">
      <c r="A12" s="136" t="s">
        <v>70</v>
      </c>
      <c r="B12" s="136">
        <v>60</v>
      </c>
      <c r="C12" s="136">
        <v>150</v>
      </c>
      <c r="D12" s="136">
        <v>500</v>
      </c>
      <c r="E12" s="136">
        <v>5</v>
      </c>
      <c r="F12" s="136">
        <v>6</v>
      </c>
      <c r="G12" s="136">
        <v>7</v>
      </c>
      <c r="H12" s="139">
        <v>3.5</v>
      </c>
      <c r="I12" s="136">
        <v>1</v>
      </c>
      <c r="J12" s="136">
        <v>2</v>
      </c>
      <c r="K12" s="136">
        <v>0.5</v>
      </c>
      <c r="L12" s="136">
        <v>0.5</v>
      </c>
      <c r="M12" s="136">
        <v>0.5</v>
      </c>
      <c r="N12" s="136">
        <v>4</v>
      </c>
      <c r="O12" s="136">
        <v>0.5</v>
      </c>
      <c r="P12" s="136">
        <v>1.5</v>
      </c>
      <c r="Q12" s="136">
        <v>1.5</v>
      </c>
      <c r="R12" s="136">
        <v>15</v>
      </c>
      <c r="S12" s="136">
        <v>0.1</v>
      </c>
      <c r="T12" s="136">
        <v>0.25</v>
      </c>
      <c r="U12" s="136">
        <v>0.5</v>
      </c>
      <c r="V12" s="57"/>
      <c r="W12" s="59"/>
      <c r="X12" s="45">
        <f>SUM(X3:X11)</f>
        <v>44.75</v>
      </c>
      <c r="Y12" s="100"/>
      <c r="AA12" t="s">
        <v>101</v>
      </c>
    </row>
    <row r="13" spans="1:27" x14ac:dyDescent="0.25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AA13" t="s">
        <v>102</v>
      </c>
    </row>
    <row r="15" spans="1:27" x14ac:dyDescent="0.25">
      <c r="V15" t="s">
        <v>95</v>
      </c>
      <c r="Y15" s="127">
        <f>IF($Y$3&lt;1,(1-$Y$3)*-1,"")</f>
        <v>-0.37984496124031009</v>
      </c>
    </row>
    <row r="16" spans="1:27" x14ac:dyDescent="0.25">
      <c r="V16" t="s">
        <v>85</v>
      </c>
      <c r="Y16" s="127">
        <f t="shared" ref="Y16:Y20" si="4">IF($Y$3&lt;1,(1-$Y$3)*-1,"")</f>
        <v>-0.37984496124031009</v>
      </c>
    </row>
    <row r="17" spans="22:25" x14ac:dyDescent="0.25">
      <c r="V17" t="s">
        <v>86</v>
      </c>
      <c r="Y17" s="127">
        <f t="shared" si="4"/>
        <v>-0.37984496124031009</v>
      </c>
    </row>
    <row r="18" spans="22:25" x14ac:dyDescent="0.25">
      <c r="V18" t="s">
        <v>87</v>
      </c>
      <c r="Y18" s="127">
        <f t="shared" si="4"/>
        <v>-0.37984496124031009</v>
      </c>
    </row>
    <row r="19" spans="22:25" x14ac:dyDescent="0.25">
      <c r="V19" t="s">
        <v>88</v>
      </c>
      <c r="Y19" s="127">
        <f t="shared" si="4"/>
        <v>-0.37984496124031009</v>
      </c>
    </row>
    <row r="20" spans="22:25" x14ac:dyDescent="0.25">
      <c r="V20" t="s">
        <v>89</v>
      </c>
      <c r="Y20" s="127">
        <f t="shared" si="4"/>
        <v>-0.37984496124031009</v>
      </c>
    </row>
    <row r="21" spans="22:25" x14ac:dyDescent="0.25">
      <c r="V21" t="s">
        <v>96</v>
      </c>
      <c r="Y21" s="127">
        <f>IF($Y$3&lt;1,(1-$Y$3)*-0.5,"")</f>
        <v>-0.18992248062015504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B26" sqref="B26"/>
    </sheetView>
  </sheetViews>
  <sheetFormatPr defaultRowHeight="15" x14ac:dyDescent="0.25"/>
  <cols>
    <col min="1" max="1" width="4.42578125" bestFit="1" customWidth="1"/>
    <col min="2" max="2" width="16" style="51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7">
        <v>1</v>
      </c>
      <c r="B1" s="154">
        <f ca="1">IF(A1&gt;0,D1*$E$1,"")</f>
        <v>2955591.9138307208</v>
      </c>
      <c r="C1" s="140">
        <f ca="1">IF(A1&gt;0,RAND(),"")</f>
        <v>0.53795987829578684</v>
      </c>
      <c r="D1" s="141">
        <f ca="1">IF(A1&gt;0,C1/SUM($C$1:$C$100),"")</f>
        <v>3.9051023624001202E-2</v>
      </c>
      <c r="E1" s="75">
        <v>75685389</v>
      </c>
      <c r="F1" s="152">
        <f>E1/COUNT(A:A)*(1-COUNT(A:A)/(COUNT(A:A)*2.5*(1-COUNT(A:A)*0.01)))</f>
        <v>1337475.6891891891</v>
      </c>
      <c r="G1" s="151">
        <f>1-COUNT(A:A)/60</f>
        <v>0.56666666666666665</v>
      </c>
      <c r="H1" t="s">
        <v>105</v>
      </c>
    </row>
    <row r="2" spans="1:8" x14ac:dyDescent="0.25">
      <c r="A2" s="47">
        <v>2</v>
      </c>
      <c r="B2" s="154">
        <f t="shared" ref="B2:B65" ca="1" si="0">IF(A2&gt;0,D2*$E$1,"")</f>
        <v>2448711.4704302414</v>
      </c>
      <c r="C2" s="140">
        <f t="shared" ref="C2:C65" ca="1" si="1">IF(A2&gt;0,RAND(),"")</f>
        <v>0.44570040892648</v>
      </c>
      <c r="D2" s="141">
        <f t="shared" ref="D2:D65" ca="1" si="2">IF(A2&gt;0,C2/SUM($C$1:$C$100),"")</f>
        <v>3.2353820239072052E-2</v>
      </c>
      <c r="E2" s="44">
        <f ca="1">SUM(B:B)</f>
        <v>75685389</v>
      </c>
      <c r="F2" s="44">
        <f>E1/COUNT(A:A)</f>
        <v>2910976.5</v>
      </c>
      <c r="G2" s="44">
        <f>F2*G1</f>
        <v>1649553.3499999999</v>
      </c>
      <c r="H2">
        <v>1443</v>
      </c>
    </row>
    <row r="3" spans="1:8" x14ac:dyDescent="0.25">
      <c r="A3" s="47">
        <v>3</v>
      </c>
      <c r="B3" s="154">
        <f t="shared" ca="1" si="0"/>
        <v>2639105.4268977712</v>
      </c>
      <c r="C3" s="140">
        <f t="shared" ca="1" si="1"/>
        <v>0.48035482422996967</v>
      </c>
      <c r="D3" s="141">
        <f t="shared" ca="1" si="2"/>
        <v>3.4869417489520618E-2</v>
      </c>
      <c r="E3" s="44">
        <f ca="1">E1-E2</f>
        <v>0</v>
      </c>
      <c r="G3" s="147">
        <f>1-COUNT(A:A)/(COUNT(A:A)*2.5*(1-COUNT(A:A)*0.01))</f>
        <v>0.45945945945945943</v>
      </c>
    </row>
    <row r="4" spans="1:8" x14ac:dyDescent="0.25">
      <c r="A4" s="47">
        <v>4</v>
      </c>
      <c r="B4" s="154">
        <f t="shared" ca="1" si="0"/>
        <v>1201596.5920240209</v>
      </c>
      <c r="C4" s="140">
        <f t="shared" ca="1" si="1"/>
        <v>0.21870771583214488</v>
      </c>
      <c r="D4" s="141">
        <f t="shared" ca="1" si="2"/>
        <v>1.5876202895964781E-2</v>
      </c>
    </row>
    <row r="5" spans="1:8" x14ac:dyDescent="0.25">
      <c r="A5" s="47">
        <v>5</v>
      </c>
      <c r="B5" s="154">
        <f t="shared" ca="1" si="0"/>
        <v>4045051.401450316</v>
      </c>
      <c r="C5" s="140">
        <f t="shared" ca="1" si="1"/>
        <v>0.73625704192836916</v>
      </c>
      <c r="D5" s="141">
        <f t="shared" ca="1" si="2"/>
        <v>5.3445604956199884E-2</v>
      </c>
      <c r="E5" s="149">
        <f ca="1">SUM(D1:D100)</f>
        <v>0.99999999999999978</v>
      </c>
      <c r="F5" s="44">
        <f ca="1">MIN(B:B)</f>
        <v>76637.627593867248</v>
      </c>
    </row>
    <row r="6" spans="1:8" x14ac:dyDescent="0.25">
      <c r="A6" s="47">
        <v>6</v>
      </c>
      <c r="B6" s="154">
        <f t="shared" ca="1" si="0"/>
        <v>1095073.2827537705</v>
      </c>
      <c r="C6" s="140">
        <f t="shared" ca="1" si="1"/>
        <v>0.19931895440587089</v>
      </c>
      <c r="D6" s="141">
        <f t="shared" ca="1" si="2"/>
        <v>1.4468754104623423E-2</v>
      </c>
      <c r="F6" s="44">
        <f ca="1">MAX(B:B)</f>
        <v>5294032.833861893</v>
      </c>
    </row>
    <row r="7" spans="1:8" x14ac:dyDescent="0.25">
      <c r="A7" s="47">
        <v>7</v>
      </c>
      <c r="B7" s="154">
        <f t="shared" ca="1" si="0"/>
        <v>2833784.7008469813</v>
      </c>
      <c r="C7" s="140">
        <f t="shared" ca="1" si="1"/>
        <v>0.5157892284284471</v>
      </c>
      <c r="D7" s="141">
        <f t="shared" ca="1" si="2"/>
        <v>3.7441634882090402E-2</v>
      </c>
      <c r="E7" s="147"/>
    </row>
    <row r="8" spans="1:8" x14ac:dyDescent="0.25">
      <c r="A8" s="47">
        <v>8</v>
      </c>
      <c r="B8" s="154">
        <f t="shared" ca="1" si="0"/>
        <v>506726.55409750063</v>
      </c>
      <c r="C8" s="140">
        <f t="shared" ca="1" si="1"/>
        <v>9.2231459321534648E-2</v>
      </c>
      <c r="D8" s="141">
        <f t="shared" ca="1" si="2"/>
        <v>6.695170108691661E-3</v>
      </c>
    </row>
    <row r="9" spans="1:8" x14ac:dyDescent="0.25">
      <c r="A9" s="47">
        <v>9</v>
      </c>
      <c r="B9" s="154">
        <f t="shared" ca="1" si="0"/>
        <v>2288866.5611760947</v>
      </c>
      <c r="C9" s="140">
        <f t="shared" ca="1" si="1"/>
        <v>0.41660635587870631</v>
      </c>
      <c r="D9" s="141">
        <f t="shared" ca="1" si="2"/>
        <v>3.0241855018755266E-2</v>
      </c>
    </row>
    <row r="10" spans="1:8" x14ac:dyDescent="0.25">
      <c r="A10" s="47">
        <v>10</v>
      </c>
      <c r="B10" s="154">
        <f t="shared" ca="1" si="0"/>
        <v>4912108.2063175188</v>
      </c>
      <c r="C10" s="140">
        <f t="shared" ca="1" si="1"/>
        <v>0.8940737455941139</v>
      </c>
      <c r="D10" s="141">
        <f t="shared" ca="1" si="2"/>
        <v>6.4901670866982245E-2</v>
      </c>
    </row>
    <row r="11" spans="1:8" x14ac:dyDescent="0.25">
      <c r="A11" s="47">
        <v>11</v>
      </c>
      <c r="B11" s="154">
        <f t="shared" ca="1" si="0"/>
        <v>394895.92222810211</v>
      </c>
      <c r="C11" s="140">
        <f t="shared" ca="1" si="1"/>
        <v>7.1876689493981183E-2</v>
      </c>
      <c r="D11" s="141">
        <f t="shared" ca="1" si="2"/>
        <v>5.2175978408210612E-3</v>
      </c>
      <c r="H11" s="132"/>
    </row>
    <row r="12" spans="1:8" x14ac:dyDescent="0.25">
      <c r="A12" s="47">
        <v>12</v>
      </c>
      <c r="B12" s="154">
        <f t="shared" ca="1" si="0"/>
        <v>3683493.0848475066</v>
      </c>
      <c r="C12" s="140">
        <f t="shared" ca="1" si="1"/>
        <v>0.6704482720889694</v>
      </c>
      <c r="D12" s="141">
        <f t="shared" ca="1" si="2"/>
        <v>4.8668483223988007E-2</v>
      </c>
      <c r="H12" s="132"/>
    </row>
    <row r="13" spans="1:8" x14ac:dyDescent="0.25">
      <c r="A13" s="47">
        <v>13</v>
      </c>
      <c r="B13" s="154">
        <f t="shared" ca="1" si="0"/>
        <v>76637.627593867248</v>
      </c>
      <c r="C13" s="140">
        <f t="shared" ca="1" si="1"/>
        <v>1.3949141158611233E-2</v>
      </c>
      <c r="D13" s="141">
        <f t="shared" ca="1" si="2"/>
        <v>1.0125815379487214E-3</v>
      </c>
      <c r="G13" s="153"/>
      <c r="H13" s="132"/>
    </row>
    <row r="14" spans="1:8" x14ac:dyDescent="0.25">
      <c r="A14" s="47">
        <v>14</v>
      </c>
      <c r="B14" s="154">
        <f t="shared" ca="1" si="0"/>
        <v>5294032.833861893</v>
      </c>
      <c r="C14" s="140">
        <f t="shared" ca="1" si="1"/>
        <v>0.96358947447078414</v>
      </c>
      <c r="D14" s="141">
        <f t="shared" ca="1" si="2"/>
        <v>6.9947884311751279E-2</v>
      </c>
      <c r="H14" s="132"/>
    </row>
    <row r="15" spans="1:8" x14ac:dyDescent="0.25">
      <c r="A15" s="47">
        <v>15</v>
      </c>
      <c r="B15" s="154">
        <f t="shared" ca="1" si="0"/>
        <v>3478214.746637804</v>
      </c>
      <c r="C15" s="140">
        <f t="shared" ca="1" si="1"/>
        <v>0.63308468704081455</v>
      </c>
      <c r="D15" s="141">
        <f t="shared" ca="1" si="2"/>
        <v>4.5956224742899898E-2</v>
      </c>
      <c r="H15" s="132"/>
    </row>
    <row r="16" spans="1:8" x14ac:dyDescent="0.25">
      <c r="A16" s="47">
        <v>16</v>
      </c>
      <c r="B16" s="154">
        <f t="shared" ca="1" si="0"/>
        <v>2697239.0563976839</v>
      </c>
      <c r="C16" s="140">
        <f t="shared" ca="1" si="1"/>
        <v>0.49093597384819687</v>
      </c>
      <c r="D16" s="141">
        <f t="shared" ca="1" si="2"/>
        <v>3.563751329067865E-2</v>
      </c>
      <c r="H16" s="132"/>
    </row>
    <row r="17" spans="1:8" x14ac:dyDescent="0.25">
      <c r="A17" s="47">
        <v>17</v>
      </c>
      <c r="B17" s="154">
        <f t="shared" ca="1" si="0"/>
        <v>5234966.1476843553</v>
      </c>
      <c r="C17" s="140">
        <f t="shared" ca="1" si="1"/>
        <v>0.95283849523081876</v>
      </c>
      <c r="D17" s="141">
        <f t="shared" ca="1" si="2"/>
        <v>6.9167460415435741E-2</v>
      </c>
      <c r="H17" s="132"/>
    </row>
    <row r="18" spans="1:8" x14ac:dyDescent="0.25">
      <c r="A18" s="47">
        <v>18</v>
      </c>
      <c r="B18" s="154">
        <f t="shared" ca="1" si="0"/>
        <v>4772650.9480945962</v>
      </c>
      <c r="C18" s="140">
        <f t="shared" ca="1" si="1"/>
        <v>0.86869053578426181</v>
      </c>
      <c r="D18" s="141">
        <f t="shared" ca="1" si="2"/>
        <v>6.3059079317073954E-2</v>
      </c>
      <c r="H18" s="132"/>
    </row>
    <row r="19" spans="1:8" x14ac:dyDescent="0.25">
      <c r="A19" s="47">
        <v>19</v>
      </c>
      <c r="B19" s="154">
        <f t="shared" ca="1" si="0"/>
        <v>4484484.2261730283</v>
      </c>
      <c r="C19" s="140">
        <f t="shared" ca="1" si="1"/>
        <v>0.81624008282138993</v>
      </c>
      <c r="D19" s="141">
        <f t="shared" ca="1" si="2"/>
        <v>5.9251650621403668E-2</v>
      </c>
      <c r="H19" s="132"/>
    </row>
    <row r="20" spans="1:8" x14ac:dyDescent="0.25">
      <c r="A20" s="47">
        <v>20</v>
      </c>
      <c r="B20" s="154">
        <f t="shared" ca="1" si="0"/>
        <v>1399405.5556354527</v>
      </c>
      <c r="C20" s="140">
        <f t="shared" ca="1" si="1"/>
        <v>0.25471176818194985</v>
      </c>
      <c r="D20" s="141">
        <f t="shared" ca="1" si="2"/>
        <v>1.8489771594296128E-2</v>
      </c>
      <c r="H20" s="132"/>
    </row>
    <row r="21" spans="1:8" x14ac:dyDescent="0.25">
      <c r="A21" s="47">
        <v>21</v>
      </c>
      <c r="B21" s="154">
        <f t="shared" ca="1" si="0"/>
        <v>4596590.4507482219</v>
      </c>
      <c r="C21" s="140">
        <f t="shared" ca="1" si="1"/>
        <v>0.83664501445165196</v>
      </c>
      <c r="D21" s="141">
        <f t="shared" ca="1" si="2"/>
        <v>6.0732864182652502E-2</v>
      </c>
      <c r="H21" s="132"/>
    </row>
    <row r="22" spans="1:8" x14ac:dyDescent="0.25">
      <c r="A22" s="47">
        <v>22</v>
      </c>
      <c r="B22" s="154">
        <f t="shared" ca="1" si="0"/>
        <v>4782033.6056445362</v>
      </c>
      <c r="C22" s="140">
        <f t="shared" ca="1" si="1"/>
        <v>0.87039831326532646</v>
      </c>
      <c r="D22" s="141">
        <f t="shared" ca="1" si="2"/>
        <v>6.3183048522675048E-2</v>
      </c>
      <c r="H22" s="132"/>
    </row>
    <row r="23" spans="1:8" x14ac:dyDescent="0.25">
      <c r="A23" s="47">
        <v>23</v>
      </c>
      <c r="B23" s="154">
        <f t="shared" ca="1" si="0"/>
        <v>5016569.8932515578</v>
      </c>
      <c r="C23" s="140">
        <f t="shared" ca="1" si="1"/>
        <v>0.91308726235420423</v>
      </c>
      <c r="D23" s="141">
        <f t="shared" ca="1" si="2"/>
        <v>6.6281880288037595E-2</v>
      </c>
    </row>
    <row r="24" spans="1:8" x14ac:dyDescent="0.25">
      <c r="A24" s="47">
        <v>24</v>
      </c>
      <c r="B24" s="154">
        <f t="shared" ca="1" si="0"/>
        <v>1165158.2939975089</v>
      </c>
      <c r="C24" s="140">
        <f t="shared" ca="1" si="1"/>
        <v>0.21207542594127105</v>
      </c>
      <c r="D24" s="141">
        <f t="shared" ca="1" si="2"/>
        <v>1.5394758610509474E-2</v>
      </c>
    </row>
    <row r="25" spans="1:8" x14ac:dyDescent="0.25">
      <c r="A25" s="47">
        <v>25</v>
      </c>
      <c r="B25" s="154">
        <f t="shared" ca="1" si="0"/>
        <v>1686183.0416345308</v>
      </c>
      <c r="C25" s="140">
        <f t="shared" ca="1" si="1"/>
        <v>0.30690936039490235</v>
      </c>
      <c r="D25" s="141">
        <f t="shared" ca="1" si="2"/>
        <v>2.2278844885563458E-2</v>
      </c>
    </row>
    <row r="26" spans="1:8" x14ac:dyDescent="0.25">
      <c r="A26" s="47">
        <v>26</v>
      </c>
      <c r="B26" s="154">
        <f t="shared" ca="1" si="0"/>
        <v>1996217.4557444132</v>
      </c>
      <c r="C26" s="140">
        <f t="shared" ca="1" si="1"/>
        <v>0.36334004519329444</v>
      </c>
      <c r="D26" s="141">
        <f t="shared" ca="1" si="2"/>
        <v>2.6375202428363196E-2</v>
      </c>
    </row>
    <row r="27" spans="1:8" x14ac:dyDescent="0.25">
      <c r="A27" s="47"/>
      <c r="B27" s="154" t="str">
        <f t="shared" si="0"/>
        <v/>
      </c>
      <c r="C27" s="140" t="str">
        <f t="shared" ca="1" si="1"/>
        <v/>
      </c>
      <c r="D27" s="141" t="str">
        <f t="shared" si="2"/>
        <v/>
      </c>
    </row>
    <row r="28" spans="1:8" x14ac:dyDescent="0.25">
      <c r="A28" s="47"/>
      <c r="B28" s="154" t="str">
        <f t="shared" si="0"/>
        <v/>
      </c>
      <c r="C28" s="140" t="str">
        <f t="shared" ca="1" si="1"/>
        <v/>
      </c>
      <c r="D28" s="141" t="str">
        <f t="shared" si="2"/>
        <v/>
      </c>
    </row>
    <row r="29" spans="1:8" x14ac:dyDescent="0.25">
      <c r="A29" s="47"/>
      <c r="B29" s="154" t="str">
        <f t="shared" si="0"/>
        <v/>
      </c>
      <c r="C29" s="140" t="str">
        <f t="shared" ca="1" si="1"/>
        <v/>
      </c>
      <c r="D29" s="141" t="str">
        <f t="shared" si="2"/>
        <v/>
      </c>
    </row>
    <row r="30" spans="1:8" x14ac:dyDescent="0.25">
      <c r="A30" s="47"/>
      <c r="B30" s="154" t="str">
        <f t="shared" si="0"/>
        <v/>
      </c>
      <c r="C30" s="140" t="str">
        <f t="shared" ca="1" si="1"/>
        <v/>
      </c>
      <c r="D30" s="141" t="str">
        <f t="shared" si="2"/>
        <v/>
      </c>
    </row>
    <row r="31" spans="1:8" x14ac:dyDescent="0.25">
      <c r="A31" s="47"/>
      <c r="B31" s="154" t="str">
        <f t="shared" si="0"/>
        <v/>
      </c>
      <c r="C31" s="140" t="str">
        <f t="shared" ca="1" si="1"/>
        <v/>
      </c>
      <c r="D31" s="141" t="str">
        <f t="shared" si="2"/>
        <v/>
      </c>
    </row>
    <row r="32" spans="1:8" x14ac:dyDescent="0.25">
      <c r="A32" s="47"/>
      <c r="B32" s="150" t="str">
        <f t="shared" si="0"/>
        <v/>
      </c>
      <c r="C32" s="140" t="str">
        <f t="shared" ca="1" si="1"/>
        <v/>
      </c>
      <c r="D32" s="141" t="str">
        <f t="shared" si="2"/>
        <v/>
      </c>
    </row>
    <row r="33" spans="1:4" x14ac:dyDescent="0.25">
      <c r="A33" s="47"/>
      <c r="B33" s="150" t="str">
        <f t="shared" si="0"/>
        <v/>
      </c>
      <c r="C33" s="140" t="str">
        <f t="shared" ca="1" si="1"/>
        <v/>
      </c>
      <c r="D33" s="141" t="str">
        <f t="shared" si="2"/>
        <v/>
      </c>
    </row>
    <row r="34" spans="1:4" x14ac:dyDescent="0.25">
      <c r="A34" s="47"/>
      <c r="B34" s="150" t="str">
        <f t="shared" si="0"/>
        <v/>
      </c>
      <c r="C34" s="140" t="str">
        <f t="shared" ca="1" si="1"/>
        <v/>
      </c>
      <c r="D34" s="141" t="str">
        <f t="shared" si="2"/>
        <v/>
      </c>
    </row>
    <row r="35" spans="1:4" x14ac:dyDescent="0.25">
      <c r="A35" s="47"/>
      <c r="B35" s="150" t="str">
        <f t="shared" si="0"/>
        <v/>
      </c>
      <c r="C35" s="140" t="str">
        <f t="shared" ca="1" si="1"/>
        <v/>
      </c>
      <c r="D35" s="141" t="str">
        <f t="shared" si="2"/>
        <v/>
      </c>
    </row>
    <row r="36" spans="1:4" x14ac:dyDescent="0.25">
      <c r="A36" s="47"/>
      <c r="B36" s="150" t="str">
        <f t="shared" si="0"/>
        <v/>
      </c>
      <c r="C36" s="140" t="str">
        <f t="shared" ca="1" si="1"/>
        <v/>
      </c>
      <c r="D36" s="141" t="str">
        <f t="shared" si="2"/>
        <v/>
      </c>
    </row>
    <row r="37" spans="1:4" x14ac:dyDescent="0.25">
      <c r="A37" s="47"/>
      <c r="B37" s="150" t="str">
        <f t="shared" si="0"/>
        <v/>
      </c>
      <c r="C37" s="140" t="str">
        <f t="shared" ca="1" si="1"/>
        <v/>
      </c>
      <c r="D37" s="141" t="str">
        <f t="shared" si="2"/>
        <v/>
      </c>
    </row>
    <row r="38" spans="1:4" x14ac:dyDescent="0.25">
      <c r="A38" s="47"/>
      <c r="B38" s="150" t="str">
        <f t="shared" si="0"/>
        <v/>
      </c>
      <c r="C38" s="140" t="str">
        <f t="shared" ca="1" si="1"/>
        <v/>
      </c>
      <c r="D38" s="141" t="str">
        <f t="shared" si="2"/>
        <v/>
      </c>
    </row>
    <row r="39" spans="1:4" x14ac:dyDescent="0.25">
      <c r="A39" s="47"/>
      <c r="B39" s="150" t="str">
        <f t="shared" si="0"/>
        <v/>
      </c>
      <c r="C39" s="140" t="str">
        <f t="shared" ca="1" si="1"/>
        <v/>
      </c>
      <c r="D39" s="141" t="str">
        <f t="shared" si="2"/>
        <v/>
      </c>
    </row>
    <row r="40" spans="1:4" x14ac:dyDescent="0.25">
      <c r="A40" s="47"/>
      <c r="B40" s="150" t="str">
        <f t="shared" si="0"/>
        <v/>
      </c>
      <c r="C40" s="140" t="str">
        <f t="shared" ca="1" si="1"/>
        <v/>
      </c>
      <c r="D40" s="141" t="str">
        <f t="shared" si="2"/>
        <v/>
      </c>
    </row>
    <row r="41" spans="1:4" x14ac:dyDescent="0.25">
      <c r="A41" s="47"/>
      <c r="B41" s="150" t="str">
        <f t="shared" si="0"/>
        <v/>
      </c>
      <c r="C41" s="140" t="str">
        <f t="shared" ca="1" si="1"/>
        <v/>
      </c>
      <c r="D41" s="141" t="str">
        <f t="shared" si="2"/>
        <v/>
      </c>
    </row>
    <row r="42" spans="1:4" x14ac:dyDescent="0.25">
      <c r="A42" s="47"/>
      <c r="B42" s="150" t="str">
        <f t="shared" si="0"/>
        <v/>
      </c>
      <c r="C42" s="140" t="str">
        <f t="shared" ca="1" si="1"/>
        <v/>
      </c>
      <c r="D42" s="141" t="str">
        <f t="shared" si="2"/>
        <v/>
      </c>
    </row>
    <row r="43" spans="1:4" x14ac:dyDescent="0.25">
      <c r="A43" s="47"/>
      <c r="B43" s="150" t="str">
        <f t="shared" si="0"/>
        <v/>
      </c>
      <c r="C43" s="140" t="str">
        <f t="shared" ca="1" si="1"/>
        <v/>
      </c>
      <c r="D43" s="141" t="str">
        <f t="shared" si="2"/>
        <v/>
      </c>
    </row>
    <row r="44" spans="1:4" x14ac:dyDescent="0.25">
      <c r="A44" s="47"/>
      <c r="B44" s="150" t="str">
        <f t="shared" si="0"/>
        <v/>
      </c>
      <c r="C44" s="140" t="str">
        <f t="shared" ca="1" si="1"/>
        <v/>
      </c>
      <c r="D44" s="141" t="str">
        <f t="shared" si="2"/>
        <v/>
      </c>
    </row>
    <row r="45" spans="1:4" x14ac:dyDescent="0.25">
      <c r="A45" s="47"/>
      <c r="B45" s="150" t="str">
        <f t="shared" si="0"/>
        <v/>
      </c>
      <c r="C45" s="140" t="str">
        <f t="shared" ca="1" si="1"/>
        <v/>
      </c>
      <c r="D45" s="141" t="str">
        <f t="shared" si="2"/>
        <v/>
      </c>
    </row>
    <row r="46" spans="1:4" x14ac:dyDescent="0.25">
      <c r="A46" s="47"/>
      <c r="B46" s="150" t="str">
        <f t="shared" si="0"/>
        <v/>
      </c>
      <c r="C46" s="140" t="str">
        <f t="shared" ca="1" si="1"/>
        <v/>
      </c>
      <c r="D46" s="141" t="str">
        <f t="shared" si="2"/>
        <v/>
      </c>
    </row>
    <row r="47" spans="1:4" x14ac:dyDescent="0.25">
      <c r="A47" s="47"/>
      <c r="B47" s="150" t="str">
        <f t="shared" si="0"/>
        <v/>
      </c>
      <c r="C47" s="140" t="str">
        <f t="shared" ca="1" si="1"/>
        <v/>
      </c>
      <c r="D47" s="141" t="str">
        <f t="shared" si="2"/>
        <v/>
      </c>
    </row>
    <row r="48" spans="1:4" x14ac:dyDescent="0.25">
      <c r="A48" s="47"/>
      <c r="B48" s="150" t="str">
        <f t="shared" si="0"/>
        <v/>
      </c>
      <c r="C48" s="140" t="str">
        <f t="shared" ca="1" si="1"/>
        <v/>
      </c>
      <c r="D48" s="141" t="str">
        <f t="shared" si="2"/>
        <v/>
      </c>
    </row>
    <row r="49" spans="1:4" x14ac:dyDescent="0.25">
      <c r="A49" s="47"/>
      <c r="B49" s="150" t="str">
        <f t="shared" si="0"/>
        <v/>
      </c>
      <c r="C49" s="140" t="str">
        <f t="shared" ca="1" si="1"/>
        <v/>
      </c>
      <c r="D49" s="141" t="str">
        <f t="shared" si="2"/>
        <v/>
      </c>
    </row>
    <row r="50" spans="1:4" x14ac:dyDescent="0.25">
      <c r="A50" s="47"/>
      <c r="B50" s="150" t="str">
        <f t="shared" si="0"/>
        <v/>
      </c>
      <c r="C50" s="140" t="str">
        <f t="shared" ca="1" si="1"/>
        <v/>
      </c>
      <c r="D50" s="141" t="str">
        <f t="shared" si="2"/>
        <v/>
      </c>
    </row>
    <row r="51" spans="1:4" x14ac:dyDescent="0.25">
      <c r="A51" s="47"/>
      <c r="B51" s="150" t="str">
        <f t="shared" si="0"/>
        <v/>
      </c>
      <c r="C51" s="140" t="str">
        <f t="shared" ca="1" si="1"/>
        <v/>
      </c>
      <c r="D51" s="141" t="str">
        <f t="shared" si="2"/>
        <v/>
      </c>
    </row>
    <row r="52" spans="1:4" x14ac:dyDescent="0.25">
      <c r="A52" s="47"/>
      <c r="B52" s="150" t="str">
        <f t="shared" si="0"/>
        <v/>
      </c>
      <c r="C52" s="140" t="str">
        <f t="shared" ca="1" si="1"/>
        <v/>
      </c>
      <c r="D52" s="141" t="str">
        <f t="shared" si="2"/>
        <v/>
      </c>
    </row>
    <row r="53" spans="1:4" x14ac:dyDescent="0.25">
      <c r="A53" s="47"/>
      <c r="B53" s="150" t="str">
        <f t="shared" si="0"/>
        <v/>
      </c>
      <c r="C53" s="140" t="str">
        <f t="shared" ca="1" si="1"/>
        <v/>
      </c>
      <c r="D53" s="141" t="str">
        <f t="shared" si="2"/>
        <v/>
      </c>
    </row>
    <row r="54" spans="1:4" x14ac:dyDescent="0.25">
      <c r="A54" s="47"/>
      <c r="B54" s="150" t="str">
        <f t="shared" si="0"/>
        <v/>
      </c>
      <c r="C54" s="140" t="str">
        <f t="shared" ca="1" si="1"/>
        <v/>
      </c>
      <c r="D54" s="141" t="str">
        <f t="shared" si="2"/>
        <v/>
      </c>
    </row>
    <row r="55" spans="1:4" x14ac:dyDescent="0.25">
      <c r="A55" s="47"/>
      <c r="B55" s="150" t="str">
        <f t="shared" si="0"/>
        <v/>
      </c>
      <c r="C55" s="140" t="str">
        <f t="shared" ca="1" si="1"/>
        <v/>
      </c>
      <c r="D55" s="141" t="str">
        <f t="shared" si="2"/>
        <v/>
      </c>
    </row>
    <row r="56" spans="1:4" x14ac:dyDescent="0.25">
      <c r="A56" s="47"/>
      <c r="B56" s="150" t="str">
        <f t="shared" si="0"/>
        <v/>
      </c>
      <c r="C56" s="140" t="str">
        <f t="shared" ca="1" si="1"/>
        <v/>
      </c>
      <c r="D56" s="141" t="str">
        <f t="shared" si="2"/>
        <v/>
      </c>
    </row>
    <row r="57" spans="1:4" x14ac:dyDescent="0.25">
      <c r="A57" s="47"/>
      <c r="B57" s="150" t="str">
        <f t="shared" si="0"/>
        <v/>
      </c>
      <c r="C57" s="140" t="str">
        <f t="shared" ca="1" si="1"/>
        <v/>
      </c>
      <c r="D57" s="141" t="str">
        <f t="shared" si="2"/>
        <v/>
      </c>
    </row>
    <row r="58" spans="1:4" x14ac:dyDescent="0.25">
      <c r="A58" s="47"/>
      <c r="B58" s="150" t="str">
        <f t="shared" si="0"/>
        <v/>
      </c>
      <c r="C58" s="140" t="str">
        <f t="shared" ca="1" si="1"/>
        <v/>
      </c>
      <c r="D58" s="141" t="str">
        <f t="shared" si="2"/>
        <v/>
      </c>
    </row>
    <row r="59" spans="1:4" x14ac:dyDescent="0.25">
      <c r="A59" s="47"/>
      <c r="B59" s="150" t="str">
        <f t="shared" si="0"/>
        <v/>
      </c>
      <c r="C59" s="140" t="str">
        <f t="shared" ca="1" si="1"/>
        <v/>
      </c>
      <c r="D59" s="141" t="str">
        <f t="shared" si="2"/>
        <v/>
      </c>
    </row>
    <row r="60" spans="1:4" x14ac:dyDescent="0.25">
      <c r="A60" s="47"/>
      <c r="B60" s="150" t="str">
        <f t="shared" si="0"/>
        <v/>
      </c>
      <c r="C60" s="140" t="str">
        <f t="shared" ca="1" si="1"/>
        <v/>
      </c>
      <c r="D60" s="141" t="str">
        <f t="shared" si="2"/>
        <v/>
      </c>
    </row>
    <row r="61" spans="1:4" x14ac:dyDescent="0.25">
      <c r="A61" s="47"/>
      <c r="B61" s="150" t="str">
        <f t="shared" si="0"/>
        <v/>
      </c>
      <c r="C61" s="140" t="str">
        <f t="shared" ca="1" si="1"/>
        <v/>
      </c>
      <c r="D61" s="141" t="str">
        <f t="shared" si="2"/>
        <v/>
      </c>
    </row>
    <row r="62" spans="1:4" x14ac:dyDescent="0.25">
      <c r="A62" s="47"/>
      <c r="B62" s="150" t="str">
        <f t="shared" si="0"/>
        <v/>
      </c>
      <c r="C62" s="140" t="str">
        <f t="shared" ca="1" si="1"/>
        <v/>
      </c>
      <c r="D62" s="141" t="str">
        <f t="shared" si="2"/>
        <v/>
      </c>
    </row>
    <row r="63" spans="1:4" x14ac:dyDescent="0.25">
      <c r="A63" s="47"/>
      <c r="B63" s="150" t="str">
        <f t="shared" si="0"/>
        <v/>
      </c>
      <c r="C63" s="140" t="str">
        <f t="shared" ca="1" si="1"/>
        <v/>
      </c>
      <c r="D63" s="141" t="str">
        <f t="shared" si="2"/>
        <v/>
      </c>
    </row>
    <row r="64" spans="1:4" x14ac:dyDescent="0.25">
      <c r="A64" s="47"/>
      <c r="B64" s="150" t="str">
        <f t="shared" si="0"/>
        <v/>
      </c>
      <c r="C64" s="140" t="str">
        <f t="shared" ca="1" si="1"/>
        <v/>
      </c>
      <c r="D64" s="141" t="str">
        <f t="shared" si="2"/>
        <v/>
      </c>
    </row>
    <row r="65" spans="1:4" x14ac:dyDescent="0.25">
      <c r="A65" s="47"/>
      <c r="B65" s="150" t="str">
        <f t="shared" si="0"/>
        <v/>
      </c>
      <c r="C65" s="140" t="str">
        <f t="shared" ca="1" si="1"/>
        <v/>
      </c>
      <c r="D65" s="141" t="str">
        <f t="shared" si="2"/>
        <v/>
      </c>
    </row>
    <row r="66" spans="1:4" x14ac:dyDescent="0.25">
      <c r="A66" s="47"/>
      <c r="B66" s="150" t="str">
        <f t="shared" ref="B66:B100" si="3">IF(A66&gt;0,D66*$E$1,"")</f>
        <v/>
      </c>
      <c r="C66" s="140" t="str">
        <f t="shared" ref="C66:C100" ca="1" si="4">IF(A66&gt;0,RAND(),"")</f>
        <v/>
      </c>
      <c r="D66" s="141" t="str">
        <f t="shared" ref="D66:D100" si="5">IF(A66&gt;0,C66/SUM($C$1:$C$100),"")</f>
        <v/>
      </c>
    </row>
    <row r="67" spans="1:4" x14ac:dyDescent="0.25">
      <c r="A67" s="47"/>
      <c r="B67" s="150" t="str">
        <f t="shared" si="3"/>
        <v/>
      </c>
      <c r="C67" s="140" t="str">
        <f t="shared" ca="1" si="4"/>
        <v/>
      </c>
      <c r="D67" s="141" t="str">
        <f t="shared" si="5"/>
        <v/>
      </c>
    </row>
    <row r="68" spans="1:4" x14ac:dyDescent="0.25">
      <c r="A68" s="47"/>
      <c r="B68" s="150" t="str">
        <f t="shared" si="3"/>
        <v/>
      </c>
      <c r="C68" s="140" t="str">
        <f t="shared" ca="1" si="4"/>
        <v/>
      </c>
      <c r="D68" s="141" t="str">
        <f t="shared" si="5"/>
        <v/>
      </c>
    </row>
    <row r="69" spans="1:4" x14ac:dyDescent="0.25">
      <c r="A69" s="47"/>
      <c r="B69" s="150" t="str">
        <f t="shared" si="3"/>
        <v/>
      </c>
      <c r="C69" s="140" t="str">
        <f t="shared" ca="1" si="4"/>
        <v/>
      </c>
      <c r="D69" s="141" t="str">
        <f t="shared" si="5"/>
        <v/>
      </c>
    </row>
    <row r="70" spans="1:4" x14ac:dyDescent="0.25">
      <c r="A70" s="47"/>
      <c r="B70" s="150" t="str">
        <f t="shared" si="3"/>
        <v/>
      </c>
      <c r="C70" s="140" t="str">
        <f t="shared" ca="1" si="4"/>
        <v/>
      </c>
      <c r="D70" s="141" t="str">
        <f t="shared" si="5"/>
        <v/>
      </c>
    </row>
    <row r="71" spans="1:4" x14ac:dyDescent="0.25">
      <c r="A71" s="47"/>
      <c r="B71" s="150" t="str">
        <f t="shared" si="3"/>
        <v/>
      </c>
      <c r="C71" s="140" t="str">
        <f t="shared" ca="1" si="4"/>
        <v/>
      </c>
      <c r="D71" s="141" t="str">
        <f t="shared" si="5"/>
        <v/>
      </c>
    </row>
    <row r="72" spans="1:4" x14ac:dyDescent="0.25">
      <c r="A72" s="47"/>
      <c r="B72" s="150" t="str">
        <f t="shared" si="3"/>
        <v/>
      </c>
      <c r="C72" s="140" t="str">
        <f t="shared" ca="1" si="4"/>
        <v/>
      </c>
      <c r="D72" s="141" t="str">
        <f t="shared" si="5"/>
        <v/>
      </c>
    </row>
    <row r="73" spans="1:4" x14ac:dyDescent="0.25">
      <c r="A73" s="47"/>
      <c r="B73" s="150" t="str">
        <f t="shared" si="3"/>
        <v/>
      </c>
      <c r="C73" s="140" t="str">
        <f t="shared" ca="1" si="4"/>
        <v/>
      </c>
      <c r="D73" s="141" t="str">
        <f t="shared" si="5"/>
        <v/>
      </c>
    </row>
    <row r="74" spans="1:4" x14ac:dyDescent="0.25">
      <c r="A74" s="47"/>
      <c r="B74" s="150" t="str">
        <f t="shared" si="3"/>
        <v/>
      </c>
      <c r="C74" s="140" t="str">
        <f t="shared" ca="1" si="4"/>
        <v/>
      </c>
      <c r="D74" s="141" t="str">
        <f t="shared" si="5"/>
        <v/>
      </c>
    </row>
    <row r="75" spans="1:4" x14ac:dyDescent="0.25">
      <c r="A75" s="47"/>
      <c r="B75" s="150" t="str">
        <f t="shared" si="3"/>
        <v/>
      </c>
      <c r="C75" s="140" t="str">
        <f t="shared" ca="1" si="4"/>
        <v/>
      </c>
      <c r="D75" s="141" t="str">
        <f t="shared" si="5"/>
        <v/>
      </c>
    </row>
    <row r="76" spans="1:4" x14ac:dyDescent="0.25">
      <c r="A76" s="47"/>
      <c r="B76" s="150" t="str">
        <f t="shared" si="3"/>
        <v/>
      </c>
      <c r="C76" s="140" t="str">
        <f t="shared" ca="1" si="4"/>
        <v/>
      </c>
      <c r="D76" s="141" t="str">
        <f t="shared" si="5"/>
        <v/>
      </c>
    </row>
    <row r="77" spans="1:4" x14ac:dyDescent="0.25">
      <c r="A77" s="47"/>
      <c r="B77" s="150" t="str">
        <f t="shared" si="3"/>
        <v/>
      </c>
      <c r="C77" s="140" t="str">
        <f t="shared" ca="1" si="4"/>
        <v/>
      </c>
      <c r="D77" s="141" t="str">
        <f t="shared" si="5"/>
        <v/>
      </c>
    </row>
    <row r="78" spans="1:4" x14ac:dyDescent="0.25">
      <c r="A78" s="47"/>
      <c r="B78" s="150" t="str">
        <f t="shared" si="3"/>
        <v/>
      </c>
      <c r="C78" s="140" t="str">
        <f t="shared" ca="1" si="4"/>
        <v/>
      </c>
      <c r="D78" s="141" t="str">
        <f t="shared" si="5"/>
        <v/>
      </c>
    </row>
    <row r="79" spans="1:4" x14ac:dyDescent="0.25">
      <c r="A79" s="47"/>
      <c r="B79" s="150" t="str">
        <f t="shared" si="3"/>
        <v/>
      </c>
      <c r="C79" s="140" t="str">
        <f t="shared" ca="1" si="4"/>
        <v/>
      </c>
      <c r="D79" s="141" t="str">
        <f t="shared" si="5"/>
        <v/>
      </c>
    </row>
    <row r="80" spans="1:4" x14ac:dyDescent="0.25">
      <c r="A80" s="47"/>
      <c r="B80" s="150" t="str">
        <f t="shared" si="3"/>
        <v/>
      </c>
      <c r="C80" s="140" t="str">
        <f t="shared" ca="1" si="4"/>
        <v/>
      </c>
      <c r="D80" s="141" t="str">
        <f t="shared" si="5"/>
        <v/>
      </c>
    </row>
    <row r="81" spans="1:4" x14ac:dyDescent="0.25">
      <c r="A81" s="47"/>
      <c r="B81" s="150" t="str">
        <f t="shared" si="3"/>
        <v/>
      </c>
      <c r="C81" s="140" t="str">
        <f t="shared" ca="1" si="4"/>
        <v/>
      </c>
      <c r="D81" s="141" t="str">
        <f t="shared" si="5"/>
        <v/>
      </c>
    </row>
    <row r="82" spans="1:4" x14ac:dyDescent="0.25">
      <c r="A82" s="47"/>
      <c r="B82" s="150" t="str">
        <f t="shared" si="3"/>
        <v/>
      </c>
      <c r="C82" s="140" t="str">
        <f t="shared" ca="1" si="4"/>
        <v/>
      </c>
      <c r="D82" s="141" t="str">
        <f t="shared" si="5"/>
        <v/>
      </c>
    </row>
    <row r="83" spans="1:4" x14ac:dyDescent="0.25">
      <c r="A83" s="47"/>
      <c r="B83" s="150" t="str">
        <f t="shared" si="3"/>
        <v/>
      </c>
      <c r="C83" s="140" t="str">
        <f t="shared" ca="1" si="4"/>
        <v/>
      </c>
      <c r="D83" s="141" t="str">
        <f t="shared" si="5"/>
        <v/>
      </c>
    </row>
    <row r="84" spans="1:4" x14ac:dyDescent="0.25">
      <c r="A84" s="47"/>
      <c r="B84" s="150" t="str">
        <f t="shared" si="3"/>
        <v/>
      </c>
      <c r="C84" s="140" t="str">
        <f t="shared" ca="1" si="4"/>
        <v/>
      </c>
      <c r="D84" s="141" t="str">
        <f t="shared" si="5"/>
        <v/>
      </c>
    </row>
    <row r="85" spans="1:4" x14ac:dyDescent="0.25">
      <c r="A85" s="47"/>
      <c r="B85" s="150" t="str">
        <f t="shared" si="3"/>
        <v/>
      </c>
      <c r="C85" s="140" t="str">
        <f t="shared" ca="1" si="4"/>
        <v/>
      </c>
      <c r="D85" s="141" t="str">
        <f t="shared" si="5"/>
        <v/>
      </c>
    </row>
    <row r="86" spans="1:4" x14ac:dyDescent="0.25">
      <c r="A86" s="47"/>
      <c r="B86" s="150" t="str">
        <f t="shared" si="3"/>
        <v/>
      </c>
      <c r="C86" s="140" t="str">
        <f t="shared" ca="1" si="4"/>
        <v/>
      </c>
      <c r="D86" s="141" t="str">
        <f t="shared" si="5"/>
        <v/>
      </c>
    </row>
    <row r="87" spans="1:4" x14ac:dyDescent="0.25">
      <c r="A87" s="47"/>
      <c r="B87" s="150" t="str">
        <f t="shared" si="3"/>
        <v/>
      </c>
      <c r="C87" s="140" t="str">
        <f t="shared" ca="1" si="4"/>
        <v/>
      </c>
      <c r="D87" s="141" t="str">
        <f t="shared" si="5"/>
        <v/>
      </c>
    </row>
    <row r="88" spans="1:4" x14ac:dyDescent="0.25">
      <c r="A88" s="47"/>
      <c r="B88" s="150" t="str">
        <f t="shared" si="3"/>
        <v/>
      </c>
      <c r="C88" s="140" t="str">
        <f t="shared" ca="1" si="4"/>
        <v/>
      </c>
      <c r="D88" s="141" t="str">
        <f t="shared" si="5"/>
        <v/>
      </c>
    </row>
    <row r="89" spans="1:4" x14ac:dyDescent="0.25">
      <c r="A89" s="47"/>
      <c r="B89" s="150" t="str">
        <f t="shared" si="3"/>
        <v/>
      </c>
      <c r="C89" s="140" t="str">
        <f t="shared" ca="1" si="4"/>
        <v/>
      </c>
      <c r="D89" s="141" t="str">
        <f t="shared" si="5"/>
        <v/>
      </c>
    </row>
    <row r="90" spans="1:4" x14ac:dyDescent="0.25">
      <c r="A90" s="47"/>
      <c r="B90" s="150" t="str">
        <f t="shared" si="3"/>
        <v/>
      </c>
      <c r="C90" s="140" t="str">
        <f t="shared" ca="1" si="4"/>
        <v/>
      </c>
      <c r="D90" s="141" t="str">
        <f t="shared" si="5"/>
        <v/>
      </c>
    </row>
    <row r="91" spans="1:4" x14ac:dyDescent="0.25">
      <c r="A91" s="47"/>
      <c r="B91" s="150" t="str">
        <f t="shared" si="3"/>
        <v/>
      </c>
      <c r="C91" s="140" t="str">
        <f t="shared" ca="1" si="4"/>
        <v/>
      </c>
      <c r="D91" s="141" t="str">
        <f t="shared" si="5"/>
        <v/>
      </c>
    </row>
    <row r="92" spans="1:4" x14ac:dyDescent="0.25">
      <c r="A92" s="47"/>
      <c r="B92" s="150" t="str">
        <f t="shared" si="3"/>
        <v/>
      </c>
      <c r="C92" s="140" t="str">
        <f t="shared" ca="1" si="4"/>
        <v/>
      </c>
      <c r="D92" s="141" t="str">
        <f t="shared" si="5"/>
        <v/>
      </c>
    </row>
    <row r="93" spans="1:4" x14ac:dyDescent="0.25">
      <c r="A93" s="47"/>
      <c r="B93" s="150" t="str">
        <f t="shared" si="3"/>
        <v/>
      </c>
      <c r="C93" s="140" t="str">
        <f t="shared" ca="1" si="4"/>
        <v/>
      </c>
      <c r="D93" s="141" t="str">
        <f t="shared" si="5"/>
        <v/>
      </c>
    </row>
    <row r="94" spans="1:4" x14ac:dyDescent="0.25">
      <c r="A94" s="47"/>
      <c r="B94" s="150" t="str">
        <f t="shared" si="3"/>
        <v/>
      </c>
      <c r="C94" s="140" t="str">
        <f t="shared" ca="1" si="4"/>
        <v/>
      </c>
      <c r="D94" s="141" t="str">
        <f t="shared" si="5"/>
        <v/>
      </c>
    </row>
    <row r="95" spans="1:4" x14ac:dyDescent="0.25">
      <c r="A95" s="47"/>
      <c r="B95" s="150" t="str">
        <f t="shared" si="3"/>
        <v/>
      </c>
      <c r="C95" s="140" t="str">
        <f t="shared" ca="1" si="4"/>
        <v/>
      </c>
      <c r="D95" s="141" t="str">
        <f t="shared" si="5"/>
        <v/>
      </c>
    </row>
    <row r="96" spans="1:4" x14ac:dyDescent="0.25">
      <c r="A96" s="47"/>
      <c r="B96" s="150" t="str">
        <f t="shared" si="3"/>
        <v/>
      </c>
      <c r="C96" s="140" t="str">
        <f t="shared" ca="1" si="4"/>
        <v/>
      </c>
      <c r="D96" s="141" t="str">
        <f t="shared" si="5"/>
        <v/>
      </c>
    </row>
    <row r="97" spans="1:8" x14ac:dyDescent="0.25">
      <c r="A97" s="47"/>
      <c r="B97" s="150" t="str">
        <f t="shared" si="3"/>
        <v/>
      </c>
      <c r="C97" s="140" t="str">
        <f t="shared" ca="1" si="4"/>
        <v/>
      </c>
      <c r="D97" s="141" t="str">
        <f t="shared" si="5"/>
        <v/>
      </c>
    </row>
    <row r="98" spans="1:8" x14ac:dyDescent="0.25">
      <c r="A98" s="47"/>
      <c r="B98" s="150" t="str">
        <f t="shared" si="3"/>
        <v/>
      </c>
      <c r="C98" s="140" t="str">
        <f t="shared" ca="1" si="4"/>
        <v/>
      </c>
      <c r="D98" s="141" t="str">
        <f t="shared" si="5"/>
        <v/>
      </c>
    </row>
    <row r="99" spans="1:8" x14ac:dyDescent="0.25">
      <c r="A99" s="47"/>
      <c r="B99" s="150" t="str">
        <f t="shared" si="3"/>
        <v/>
      </c>
      <c r="C99" s="140" t="str">
        <f t="shared" ca="1" si="4"/>
        <v/>
      </c>
      <c r="D99" s="141" t="str">
        <f t="shared" si="5"/>
        <v/>
      </c>
    </row>
    <row r="100" spans="1:8" x14ac:dyDescent="0.25">
      <c r="A100" s="142"/>
      <c r="B100" s="150" t="str">
        <f t="shared" si="3"/>
        <v/>
      </c>
      <c r="C100" s="140" t="str">
        <f t="shared" ca="1" si="4"/>
        <v/>
      </c>
      <c r="D100" s="141" t="str">
        <f t="shared" si="5"/>
        <v/>
      </c>
    </row>
    <row r="101" spans="1:8" s="146" customFormat="1" x14ac:dyDescent="0.25">
      <c r="A101" s="143"/>
      <c r="B101" s="144"/>
      <c r="C101" s="145"/>
      <c r="D101" s="148"/>
      <c r="E101" s="143"/>
      <c r="F101" s="143"/>
      <c r="G101" s="143"/>
      <c r="H101" s="143"/>
    </row>
    <row r="102" spans="1:8" x14ac:dyDescent="0.25">
      <c r="C102" s="140"/>
    </row>
    <row r="103" spans="1:8" x14ac:dyDescent="0.25">
      <c r="C103" s="140"/>
    </row>
    <row r="104" spans="1:8" x14ac:dyDescent="0.25">
      <c r="C104" s="140"/>
    </row>
    <row r="105" spans="1:8" x14ac:dyDescent="0.25">
      <c r="C105" s="140"/>
    </row>
    <row r="106" spans="1:8" x14ac:dyDescent="0.25">
      <c r="C106" s="140"/>
    </row>
    <row r="107" spans="1:8" x14ac:dyDescent="0.25">
      <c r="C107" s="140"/>
    </row>
    <row r="108" spans="1:8" x14ac:dyDescent="0.25">
      <c r="C108" s="140"/>
    </row>
    <row r="109" spans="1:8" x14ac:dyDescent="0.25">
      <c r="C109" s="140"/>
    </row>
    <row r="110" spans="1:8" x14ac:dyDescent="0.25">
      <c r="C110" s="140"/>
    </row>
    <row r="111" spans="1:8" x14ac:dyDescent="0.25">
      <c r="C111" s="140"/>
    </row>
    <row r="112" spans="1:8" x14ac:dyDescent="0.25">
      <c r="C112" s="140"/>
    </row>
    <row r="113" spans="3:3" x14ac:dyDescent="0.25">
      <c r="C113" s="140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101</v>
      </c>
    </row>
    <row r="2" spans="1:3" ht="15.75" customHeight="1" x14ac:dyDescent="0.25">
      <c r="A2" t="s">
        <v>0</v>
      </c>
      <c r="C2" t="s">
        <v>102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База</vt:lpstr>
      <vt:lpstr>Провиант</vt:lpstr>
      <vt:lpstr>Энергия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Липатов КА</cp:lastModifiedBy>
  <dcterms:created xsi:type="dcterms:W3CDTF">2015-06-05T18:19:34Z</dcterms:created>
  <dcterms:modified xsi:type="dcterms:W3CDTF">2024-10-06T09:21:12Z</dcterms:modified>
</cp:coreProperties>
</file>