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LipatovKA\Desktop\_Project Arstotzka\"/>
    </mc:Choice>
  </mc:AlternateContent>
  <xr:revisionPtr revIDLastSave="0" documentId="13_ncr:1_{D0464C53-2123-47BA-B42E-F79058A1FD61}" xr6:coauthVersionLast="47" xr6:coauthVersionMax="47" xr10:uidLastSave="{00000000-0000-0000-0000-000000000000}"/>
  <bookViews>
    <workbookView xWindow="-120" yWindow="-120" windowWidth="29040" windowHeight="16440" activeTab="3" xr2:uid="{00000000-000D-0000-FFFF-FFFF00000000}"/>
  </bookViews>
  <sheets>
    <sheet name="База" sheetId="1" r:id="rId1"/>
    <sheet name="Провиант" sheetId="4" r:id="rId2"/>
    <sheet name="Энергия" sheetId="7" r:id="rId3"/>
    <sheet name="Промменпавер" sheetId="8" r:id="rId4"/>
    <sheet name="Распред нас" sheetId="2" r:id="rId5"/>
    <sheet name="Список" sheetId="5" r:id="rId6"/>
  </sheets>
  <definedNames>
    <definedName name="страны">Список!$A$1:$A$9</definedName>
    <definedName name="электричество">Список!$C$1:$C$2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3" i="8" l="1"/>
  <c r="B72" i="8"/>
  <c r="B67" i="8"/>
  <c r="B71" i="8" s="1"/>
  <c r="F56" i="8"/>
  <c r="C57" i="8"/>
  <c r="C56" i="8" s="1"/>
  <c r="U11" i="8"/>
  <c r="T11" i="8"/>
  <c r="H11" i="8"/>
  <c r="G11" i="8"/>
  <c r="F11" i="8"/>
  <c r="E11" i="8"/>
  <c r="U10" i="8"/>
  <c r="T10" i="8"/>
  <c r="H10" i="8"/>
  <c r="G10" i="8"/>
  <c r="F10" i="8"/>
  <c r="E10" i="8"/>
  <c r="V10" i="8" s="1"/>
  <c r="W10" i="8" s="1"/>
  <c r="U9" i="8"/>
  <c r="T9" i="8"/>
  <c r="H9" i="8"/>
  <c r="G9" i="8"/>
  <c r="F9" i="8"/>
  <c r="E9" i="8"/>
  <c r="U8" i="8"/>
  <c r="T8" i="8"/>
  <c r="H8" i="8"/>
  <c r="G8" i="8"/>
  <c r="F8" i="8"/>
  <c r="E8" i="8"/>
  <c r="V8" i="8" s="1"/>
  <c r="W8" i="8" s="1"/>
  <c r="U7" i="8"/>
  <c r="T7" i="8"/>
  <c r="H7" i="8"/>
  <c r="G7" i="8"/>
  <c r="F7" i="8"/>
  <c r="E7" i="8"/>
  <c r="U6" i="8"/>
  <c r="T6" i="8"/>
  <c r="H6" i="8"/>
  <c r="G6" i="8"/>
  <c r="F6" i="8"/>
  <c r="E6" i="8"/>
  <c r="V6" i="8" s="1"/>
  <c r="W6" i="8" s="1"/>
  <c r="U5" i="8"/>
  <c r="T5" i="8"/>
  <c r="H5" i="8"/>
  <c r="G5" i="8"/>
  <c r="F5" i="8"/>
  <c r="E5" i="8"/>
  <c r="U4" i="8"/>
  <c r="T4" i="8"/>
  <c r="H4" i="8"/>
  <c r="G4" i="8"/>
  <c r="F4" i="8"/>
  <c r="E4" i="8"/>
  <c r="U3" i="8"/>
  <c r="T3" i="8"/>
  <c r="H3" i="8"/>
  <c r="G3" i="8"/>
  <c r="F3" i="8"/>
  <c r="E3" i="8"/>
  <c r="P219" i="8"/>
  <c r="P218" i="8"/>
  <c r="P217" i="8"/>
  <c r="P216" i="8"/>
  <c r="P215" i="8"/>
  <c r="P214" i="8"/>
  <c r="P213" i="8"/>
  <c r="P212" i="8"/>
  <c r="P211" i="8"/>
  <c r="P210" i="8"/>
  <c r="P209" i="8"/>
  <c r="P208" i="8"/>
  <c r="P207" i="8"/>
  <c r="P206" i="8"/>
  <c r="P205" i="8"/>
  <c r="P204" i="8"/>
  <c r="P203" i="8"/>
  <c r="P202" i="8"/>
  <c r="P201" i="8"/>
  <c r="P200" i="8"/>
  <c r="P199" i="8"/>
  <c r="P198" i="8"/>
  <c r="P197" i="8"/>
  <c r="P196" i="8"/>
  <c r="P195" i="8"/>
  <c r="P194" i="8"/>
  <c r="P193" i="8"/>
  <c r="P192" i="8"/>
  <c r="P191" i="8"/>
  <c r="P190" i="8"/>
  <c r="P189" i="8"/>
  <c r="P188" i="8"/>
  <c r="P187" i="8"/>
  <c r="P186" i="8"/>
  <c r="P185" i="8"/>
  <c r="P184" i="8"/>
  <c r="P183" i="8"/>
  <c r="P182" i="8"/>
  <c r="P181" i="8"/>
  <c r="P180" i="8"/>
  <c r="P179" i="8"/>
  <c r="P178" i="8"/>
  <c r="P177" i="8"/>
  <c r="P176" i="8"/>
  <c r="P175" i="8"/>
  <c r="P174" i="8"/>
  <c r="P173" i="8"/>
  <c r="P172" i="8"/>
  <c r="P171" i="8"/>
  <c r="P170" i="8"/>
  <c r="P169" i="8"/>
  <c r="P168" i="8"/>
  <c r="P167" i="8"/>
  <c r="P166" i="8"/>
  <c r="P165" i="8"/>
  <c r="P164" i="8"/>
  <c r="P163" i="8"/>
  <c r="P162" i="8"/>
  <c r="P161" i="8"/>
  <c r="P160" i="8"/>
  <c r="P159" i="8"/>
  <c r="P158" i="8"/>
  <c r="P157" i="8"/>
  <c r="P156" i="8"/>
  <c r="P155" i="8"/>
  <c r="P154" i="8"/>
  <c r="P153" i="8"/>
  <c r="P152" i="8"/>
  <c r="P151" i="8"/>
  <c r="P150" i="8"/>
  <c r="P149" i="8"/>
  <c r="P148" i="8"/>
  <c r="P147" i="8"/>
  <c r="P146" i="8"/>
  <c r="P145" i="8"/>
  <c r="P144" i="8"/>
  <c r="P143" i="8"/>
  <c r="P142" i="8"/>
  <c r="P141" i="8"/>
  <c r="P140" i="8"/>
  <c r="P139" i="8"/>
  <c r="P138" i="8"/>
  <c r="P137" i="8"/>
  <c r="P136" i="8"/>
  <c r="P135" i="8"/>
  <c r="P134" i="8"/>
  <c r="P133" i="8"/>
  <c r="P132" i="8"/>
  <c r="P131" i="8"/>
  <c r="P130" i="8"/>
  <c r="P129" i="8"/>
  <c r="P128" i="8"/>
  <c r="P127" i="8"/>
  <c r="P126" i="8"/>
  <c r="P125" i="8"/>
  <c r="P124" i="8"/>
  <c r="P123" i="8"/>
  <c r="P122" i="8"/>
  <c r="P121" i="8"/>
  <c r="P120" i="8"/>
  <c r="P119" i="8"/>
  <c r="P118" i="8"/>
  <c r="P117" i="8"/>
  <c r="P116" i="8"/>
  <c r="P115" i="8"/>
  <c r="P114" i="8"/>
  <c r="P113" i="8"/>
  <c r="P112" i="8"/>
  <c r="P111" i="8"/>
  <c r="P110" i="8"/>
  <c r="P109" i="8"/>
  <c r="P108" i="8"/>
  <c r="P107" i="8"/>
  <c r="P106" i="8"/>
  <c r="P105" i="8"/>
  <c r="P104" i="8"/>
  <c r="P103" i="8"/>
  <c r="P102" i="8"/>
  <c r="P101" i="8"/>
  <c r="P100" i="8"/>
  <c r="P99" i="8"/>
  <c r="P98" i="8"/>
  <c r="P97" i="8"/>
  <c r="P96" i="8"/>
  <c r="P95" i="8"/>
  <c r="P94" i="8"/>
  <c r="P93" i="8"/>
  <c r="P92" i="8"/>
  <c r="P91" i="8"/>
  <c r="P90" i="8"/>
  <c r="P89" i="8"/>
  <c r="P88" i="8"/>
  <c r="P87" i="8"/>
  <c r="P86" i="8"/>
  <c r="P85" i="8"/>
  <c r="P84" i="8"/>
  <c r="P83" i="8"/>
  <c r="P82" i="8"/>
  <c r="P81" i="8"/>
  <c r="P80" i="8"/>
  <c r="P79" i="8"/>
  <c r="P78" i="8"/>
  <c r="P77" i="8"/>
  <c r="P76" i="8"/>
  <c r="P75" i="8"/>
  <c r="P74" i="8"/>
  <c r="P73" i="8"/>
  <c r="P72" i="8"/>
  <c r="P71" i="8"/>
  <c r="P70" i="8"/>
  <c r="P69" i="8"/>
  <c r="P68" i="8"/>
  <c r="P67" i="8"/>
  <c r="P66" i="8"/>
  <c r="P65" i="8"/>
  <c r="P64" i="8"/>
  <c r="P63" i="8"/>
  <c r="P62" i="8"/>
  <c r="P61" i="8"/>
  <c r="P60" i="8"/>
  <c r="P59" i="8"/>
  <c r="P58" i="8"/>
  <c r="P57" i="8"/>
  <c r="P56" i="8"/>
  <c r="P55" i="8"/>
  <c r="P54" i="8"/>
  <c r="P53" i="8"/>
  <c r="P52" i="8"/>
  <c r="P51" i="8"/>
  <c r="P50" i="8"/>
  <c r="P49" i="8"/>
  <c r="E49" i="8" a="1"/>
  <c r="E49" i="8" s="1"/>
  <c r="P48" i="8"/>
  <c r="P47" i="8"/>
  <c r="P46" i="8"/>
  <c r="P45" i="8"/>
  <c r="P44" i="8"/>
  <c r="P43" i="8"/>
  <c r="P42" i="8"/>
  <c r="P41" i="8"/>
  <c r="B41" i="8"/>
  <c r="B42" i="8" s="1"/>
  <c r="P40" i="8"/>
  <c r="F40" i="8"/>
  <c r="P39" i="8"/>
  <c r="F39" i="8"/>
  <c r="P38" i="8"/>
  <c r="F38" i="8"/>
  <c r="P37" i="8"/>
  <c r="P36" i="8"/>
  <c r="P35" i="8"/>
  <c r="P34" i="8"/>
  <c r="P33" i="8"/>
  <c r="P32" i="8"/>
  <c r="P31" i="8"/>
  <c r="P30" i="8"/>
  <c r="C30" i="8"/>
  <c r="P29" i="8"/>
  <c r="P28" i="8"/>
  <c r="P27" i="8"/>
  <c r="P26" i="8"/>
  <c r="P25" i="8"/>
  <c r="P24" i="8"/>
  <c r="P23" i="8"/>
  <c r="P22" i="8"/>
  <c r="P21" i="8"/>
  <c r="P20" i="8"/>
  <c r="G20" i="8"/>
  <c r="B30" i="8" s="1"/>
  <c r="B19" i="8"/>
  <c r="A25" i="8" s="1"/>
  <c r="B25" i="8" s="1"/>
  <c r="C23" i="7"/>
  <c r="H16" i="7" s="1"/>
  <c r="Z24" i="7"/>
  <c r="Y27" i="7" s="1"/>
  <c r="H3" i="7"/>
  <c r="F1" i="2"/>
  <c r="G1" i="2"/>
  <c r="G3" i="2"/>
  <c r="F2" i="2"/>
  <c r="N6" i="1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E4" i="4"/>
  <c r="E5" i="4"/>
  <c r="E7" i="4"/>
  <c r="E8" i="4"/>
  <c r="E9" i="4"/>
  <c r="E10" i="4"/>
  <c r="E11" i="4"/>
  <c r="E3" i="4"/>
  <c r="E15" i="4" s="1"/>
  <c r="E16" i="4" s="1"/>
  <c r="C2" i="2"/>
  <c r="C3" i="2"/>
  <c r="C4" i="2"/>
  <c r="C5" i="2"/>
  <c r="C6" i="2"/>
  <c r="C7" i="2"/>
  <c r="C8" i="2"/>
  <c r="C9" i="2"/>
  <c r="C10" i="2"/>
  <c r="C11" i="2"/>
  <c r="C12" i="2"/>
  <c r="C1" i="2"/>
  <c r="H4" i="7"/>
  <c r="H5" i="7"/>
  <c r="H6" i="7"/>
  <c r="H7" i="7"/>
  <c r="H8" i="7"/>
  <c r="H9" i="7"/>
  <c r="H10" i="7"/>
  <c r="H11" i="7"/>
  <c r="W4" i="1"/>
  <c r="W5" i="1"/>
  <c r="W6" i="1"/>
  <c r="W7" i="1"/>
  <c r="W8" i="1"/>
  <c r="W9" i="1"/>
  <c r="W10" i="1"/>
  <c r="W11" i="1"/>
  <c r="W3" i="1"/>
  <c r="V9" i="1"/>
  <c r="V8" i="1"/>
  <c r="V7" i="1"/>
  <c r="V6" i="1"/>
  <c r="V5" i="1"/>
  <c r="V3" i="1"/>
  <c r="V4" i="1"/>
  <c r="W4" i="7"/>
  <c r="W5" i="7"/>
  <c r="W6" i="7"/>
  <c r="W7" i="7"/>
  <c r="W8" i="7"/>
  <c r="W9" i="7"/>
  <c r="W10" i="7"/>
  <c r="W11" i="7"/>
  <c r="W3" i="7"/>
  <c r="F78" i="4"/>
  <c r="E79" i="4"/>
  <c r="B62" i="8" l="1"/>
  <c r="B56" i="8"/>
  <c r="E56" i="8" s="1"/>
  <c r="F59" i="8" s="1"/>
  <c r="V4" i="8"/>
  <c r="W4" i="8" s="1"/>
  <c r="V3" i="8"/>
  <c r="W3" i="8" s="1"/>
  <c r="V5" i="8"/>
  <c r="W5" i="8" s="1"/>
  <c r="V7" i="8"/>
  <c r="W7" i="8" s="1"/>
  <c r="V9" i="8"/>
  <c r="W9" i="8" s="1"/>
  <c r="V11" i="8"/>
  <c r="W11" i="8" s="1"/>
  <c r="A24" i="8"/>
  <c r="C31" i="8" s="1"/>
  <c r="C32" i="8" s="1"/>
  <c r="G38" i="8"/>
  <c r="B49" i="8" s="1"/>
  <c r="G2" i="2"/>
  <c r="Z26" i="7"/>
  <c r="H17" i="7"/>
  <c r="H20" i="7"/>
  <c r="H21" i="7"/>
  <c r="H18" i="7"/>
  <c r="H19" i="7"/>
  <c r="H22" i="7"/>
  <c r="F79" i="4"/>
  <c r="D28" i="2"/>
  <c r="B28" i="2" s="1"/>
  <c r="D30" i="2"/>
  <c r="B30" i="2" s="1"/>
  <c r="D27" i="2"/>
  <c r="B27" i="2" s="1"/>
  <c r="D29" i="2"/>
  <c r="B29" i="2" s="1"/>
  <c r="D31" i="2"/>
  <c r="B31" i="2" s="1"/>
  <c r="D20" i="2"/>
  <c r="B20" i="2" s="1"/>
  <c r="D13" i="2"/>
  <c r="B13" i="2" s="1"/>
  <c r="D24" i="2"/>
  <c r="B24" i="2" s="1"/>
  <c r="D23" i="2"/>
  <c r="B23" i="2" s="1"/>
  <c r="D19" i="2"/>
  <c r="B19" i="2" s="1"/>
  <c r="D15" i="2"/>
  <c r="B15" i="2" s="1"/>
  <c r="D16" i="2"/>
  <c r="B16" i="2" s="1"/>
  <c r="D26" i="2"/>
  <c r="B26" i="2" s="1"/>
  <c r="D22" i="2"/>
  <c r="B22" i="2" s="1"/>
  <c r="D18" i="2"/>
  <c r="B18" i="2" s="1"/>
  <c r="D14" i="2"/>
  <c r="B14" i="2" s="1"/>
  <c r="D25" i="2"/>
  <c r="B25" i="2" s="1"/>
  <c r="D21" i="2"/>
  <c r="B21" i="2" s="1"/>
  <c r="D17" i="2"/>
  <c r="B17" i="2" s="1"/>
  <c r="D11" i="2"/>
  <c r="B11" i="2" s="1"/>
  <c r="D7" i="2"/>
  <c r="B7" i="2" s="1"/>
  <c r="D3" i="2"/>
  <c r="B3" i="2" s="1"/>
  <c r="D10" i="2"/>
  <c r="B10" i="2" s="1"/>
  <c r="D6" i="2"/>
  <c r="B6" i="2" s="1"/>
  <c r="D2" i="2"/>
  <c r="B2" i="2" s="1"/>
  <c r="D4" i="2"/>
  <c r="B4" i="2" s="1"/>
  <c r="D5" i="2"/>
  <c r="B5" i="2" s="1"/>
  <c r="D9" i="2"/>
  <c r="B9" i="2" s="1"/>
  <c r="D1" i="2"/>
  <c r="B1" i="2" s="1"/>
  <c r="D12" i="2"/>
  <c r="B12" i="2" s="1"/>
  <c r="D8" i="2"/>
  <c r="B8" i="2" s="1"/>
  <c r="T3" i="7"/>
  <c r="T4" i="7"/>
  <c r="T5" i="7"/>
  <c r="T6" i="7"/>
  <c r="T7" i="7"/>
  <c r="T8" i="7"/>
  <c r="T9" i="7"/>
  <c r="T10" i="7"/>
  <c r="T11" i="7"/>
  <c r="E59" i="8" l="1"/>
  <c r="B24" i="8"/>
  <c r="H38" i="8" s="1"/>
  <c r="F6" i="2"/>
  <c r="F5" i="2"/>
  <c r="E5" i="2"/>
  <c r="W17" i="4"/>
  <c r="W18" i="4"/>
  <c r="W19" i="4"/>
  <c r="V19" i="4" s="1"/>
  <c r="W20" i="4"/>
  <c r="V20" i="4" s="1"/>
  <c r="W21" i="4"/>
  <c r="V21" i="4" s="1"/>
  <c r="W22" i="4"/>
  <c r="V22" i="4" s="1"/>
  <c r="W23" i="4"/>
  <c r="W24" i="4"/>
  <c r="V24" i="4" s="1"/>
  <c r="W25" i="4"/>
  <c r="V25" i="4" s="1"/>
  <c r="W26" i="4"/>
  <c r="V26" i="4" s="1"/>
  <c r="W27" i="4"/>
  <c r="W28" i="4"/>
  <c r="V28" i="4" s="1"/>
  <c r="W29" i="4"/>
  <c r="V29" i="4" s="1"/>
  <c r="W30" i="4"/>
  <c r="V30" i="4" s="1"/>
  <c r="W31" i="4"/>
  <c r="W32" i="4"/>
  <c r="V32" i="4" s="1"/>
  <c r="W33" i="4"/>
  <c r="V33" i="4" s="1"/>
  <c r="W34" i="4"/>
  <c r="V34" i="4" s="1"/>
  <c r="W35" i="4"/>
  <c r="W36" i="4"/>
  <c r="V36" i="4" s="1"/>
  <c r="W37" i="4"/>
  <c r="V37" i="4" s="1"/>
  <c r="W38" i="4"/>
  <c r="V38" i="4" s="1"/>
  <c r="W39" i="4"/>
  <c r="W40" i="4"/>
  <c r="V40" i="4" s="1"/>
  <c r="W41" i="4"/>
  <c r="V41" i="4" s="1"/>
  <c r="W42" i="4"/>
  <c r="V42" i="4" s="1"/>
  <c r="W43" i="4"/>
  <c r="W44" i="4"/>
  <c r="V44" i="4" s="1"/>
  <c r="W45" i="4"/>
  <c r="V45" i="4" s="1"/>
  <c r="W46" i="4"/>
  <c r="V46" i="4" s="1"/>
  <c r="W47" i="4"/>
  <c r="W48" i="4"/>
  <c r="V48" i="4" s="1"/>
  <c r="W49" i="4"/>
  <c r="V49" i="4" s="1"/>
  <c r="W50" i="4"/>
  <c r="V50" i="4" s="1"/>
  <c r="W51" i="4"/>
  <c r="W52" i="4"/>
  <c r="V52" i="4" s="1"/>
  <c r="W53" i="4"/>
  <c r="V53" i="4" s="1"/>
  <c r="W54" i="4"/>
  <c r="V54" i="4" s="1"/>
  <c r="W55" i="4"/>
  <c r="W56" i="4"/>
  <c r="V56" i="4" s="1"/>
  <c r="W57" i="4"/>
  <c r="V57" i="4" s="1"/>
  <c r="W58" i="4"/>
  <c r="V58" i="4" s="1"/>
  <c r="W59" i="4"/>
  <c r="W60" i="4"/>
  <c r="V60" i="4" s="1"/>
  <c r="W61" i="4"/>
  <c r="V61" i="4" s="1"/>
  <c r="W62" i="4"/>
  <c r="V62" i="4" s="1"/>
  <c r="W63" i="4"/>
  <c r="W64" i="4"/>
  <c r="V64" i="4" s="1"/>
  <c r="W65" i="4"/>
  <c r="V65" i="4" s="1"/>
  <c r="W66" i="4"/>
  <c r="V66" i="4" s="1"/>
  <c r="W67" i="4"/>
  <c r="W68" i="4"/>
  <c r="V68" i="4" s="1"/>
  <c r="W69" i="4"/>
  <c r="V69" i="4" s="1"/>
  <c r="W70" i="4"/>
  <c r="V70" i="4" s="1"/>
  <c r="W71" i="4"/>
  <c r="W72" i="4"/>
  <c r="V72" i="4" s="1"/>
  <c r="W73" i="4"/>
  <c r="V73" i="4" s="1"/>
  <c r="W74" i="4"/>
  <c r="V74" i="4" s="1"/>
  <c r="W75" i="4"/>
  <c r="W76" i="4"/>
  <c r="V76" i="4" s="1"/>
  <c r="W77" i="4"/>
  <c r="V77" i="4" s="1"/>
  <c r="W78" i="4"/>
  <c r="V78" i="4" s="1"/>
  <c r="W79" i="4"/>
  <c r="W80" i="4"/>
  <c r="V80" i="4" s="1"/>
  <c r="W81" i="4"/>
  <c r="V81" i="4" s="1"/>
  <c r="W82" i="4"/>
  <c r="V82" i="4" s="1"/>
  <c r="W83" i="4"/>
  <c r="W84" i="4"/>
  <c r="V84" i="4" s="1"/>
  <c r="W85" i="4"/>
  <c r="V85" i="4" s="1"/>
  <c r="W86" i="4"/>
  <c r="V86" i="4" s="1"/>
  <c r="W87" i="4"/>
  <c r="W88" i="4"/>
  <c r="V88" i="4" s="1"/>
  <c r="W89" i="4"/>
  <c r="V89" i="4" s="1"/>
  <c r="W90" i="4"/>
  <c r="V90" i="4" s="1"/>
  <c r="W91" i="4"/>
  <c r="W92" i="4"/>
  <c r="V92" i="4" s="1"/>
  <c r="W93" i="4"/>
  <c r="V93" i="4" s="1"/>
  <c r="W94" i="4"/>
  <c r="V94" i="4" s="1"/>
  <c r="W95" i="4"/>
  <c r="W96" i="4"/>
  <c r="V96" i="4" s="1"/>
  <c r="W97" i="4"/>
  <c r="V97" i="4" s="1"/>
  <c r="W98" i="4"/>
  <c r="V98" i="4" s="1"/>
  <c r="W99" i="4"/>
  <c r="W100" i="4"/>
  <c r="V100" i="4" s="1"/>
  <c r="W101" i="4"/>
  <c r="V101" i="4" s="1"/>
  <c r="W102" i="4"/>
  <c r="V102" i="4" s="1"/>
  <c r="W103" i="4"/>
  <c r="W104" i="4"/>
  <c r="V104" i="4" s="1"/>
  <c r="W105" i="4"/>
  <c r="V105" i="4" s="1"/>
  <c r="W106" i="4"/>
  <c r="V106" i="4" s="1"/>
  <c r="W107" i="4"/>
  <c r="W108" i="4"/>
  <c r="V108" i="4" s="1"/>
  <c r="W109" i="4"/>
  <c r="V109" i="4" s="1"/>
  <c r="W110" i="4"/>
  <c r="V110" i="4" s="1"/>
  <c r="W111" i="4"/>
  <c r="W112" i="4"/>
  <c r="V112" i="4" s="1"/>
  <c r="W113" i="4"/>
  <c r="V113" i="4" s="1"/>
  <c r="W114" i="4"/>
  <c r="V114" i="4" s="1"/>
  <c r="W115" i="4"/>
  <c r="W116" i="4"/>
  <c r="V116" i="4" s="1"/>
  <c r="W117" i="4"/>
  <c r="V117" i="4" s="1"/>
  <c r="W118" i="4"/>
  <c r="V118" i="4" s="1"/>
  <c r="W119" i="4"/>
  <c r="W120" i="4"/>
  <c r="V120" i="4" s="1"/>
  <c r="W121" i="4"/>
  <c r="V121" i="4" s="1"/>
  <c r="W122" i="4"/>
  <c r="V122" i="4" s="1"/>
  <c r="W123" i="4"/>
  <c r="W124" i="4"/>
  <c r="V124" i="4" s="1"/>
  <c r="W125" i="4"/>
  <c r="V125" i="4" s="1"/>
  <c r="W126" i="4"/>
  <c r="V126" i="4" s="1"/>
  <c r="W127" i="4"/>
  <c r="W128" i="4"/>
  <c r="V128" i="4" s="1"/>
  <c r="W129" i="4"/>
  <c r="V129" i="4" s="1"/>
  <c r="W130" i="4"/>
  <c r="V130" i="4" s="1"/>
  <c r="W131" i="4"/>
  <c r="W132" i="4"/>
  <c r="V132" i="4" s="1"/>
  <c r="W133" i="4"/>
  <c r="V133" i="4" s="1"/>
  <c r="W134" i="4"/>
  <c r="V134" i="4" s="1"/>
  <c r="W135" i="4"/>
  <c r="W136" i="4"/>
  <c r="V136" i="4" s="1"/>
  <c r="W137" i="4"/>
  <c r="V137" i="4" s="1"/>
  <c r="W138" i="4"/>
  <c r="V138" i="4" s="1"/>
  <c r="W139" i="4"/>
  <c r="W140" i="4"/>
  <c r="V140" i="4" s="1"/>
  <c r="W141" i="4"/>
  <c r="V141" i="4" s="1"/>
  <c r="W142" i="4"/>
  <c r="V142" i="4" s="1"/>
  <c r="W143" i="4"/>
  <c r="W144" i="4"/>
  <c r="V144" i="4" s="1"/>
  <c r="W145" i="4"/>
  <c r="V145" i="4" s="1"/>
  <c r="W146" i="4"/>
  <c r="V146" i="4" s="1"/>
  <c r="W147" i="4"/>
  <c r="W148" i="4"/>
  <c r="V148" i="4" s="1"/>
  <c r="W149" i="4"/>
  <c r="V149" i="4" s="1"/>
  <c r="W150" i="4"/>
  <c r="V150" i="4" s="1"/>
  <c r="W151" i="4"/>
  <c r="W152" i="4"/>
  <c r="V152" i="4" s="1"/>
  <c r="W153" i="4"/>
  <c r="V153" i="4" s="1"/>
  <c r="W154" i="4"/>
  <c r="V154" i="4" s="1"/>
  <c r="W155" i="4"/>
  <c r="W156" i="4"/>
  <c r="V156" i="4" s="1"/>
  <c r="W157" i="4"/>
  <c r="V157" i="4" s="1"/>
  <c r="W158" i="4"/>
  <c r="V158" i="4" s="1"/>
  <c r="W159" i="4"/>
  <c r="W16" i="4"/>
  <c r="X96" i="4"/>
  <c r="X97" i="4"/>
  <c r="X98" i="4"/>
  <c r="X99" i="4"/>
  <c r="X100" i="4"/>
  <c r="X101" i="4"/>
  <c r="X102" i="4"/>
  <c r="X103" i="4"/>
  <c r="X104" i="4"/>
  <c r="X105" i="4"/>
  <c r="X106" i="4"/>
  <c r="X107" i="4"/>
  <c r="X108" i="4"/>
  <c r="X109" i="4"/>
  <c r="X110" i="4"/>
  <c r="X111" i="4"/>
  <c r="X112" i="4"/>
  <c r="X113" i="4"/>
  <c r="X114" i="4"/>
  <c r="X115" i="4"/>
  <c r="X116" i="4"/>
  <c r="X117" i="4"/>
  <c r="X118" i="4"/>
  <c r="X119" i="4"/>
  <c r="X120" i="4"/>
  <c r="X121" i="4"/>
  <c r="X122" i="4"/>
  <c r="X123" i="4"/>
  <c r="X124" i="4"/>
  <c r="X125" i="4"/>
  <c r="X126" i="4"/>
  <c r="X127" i="4"/>
  <c r="X128" i="4"/>
  <c r="X129" i="4"/>
  <c r="X130" i="4"/>
  <c r="X131" i="4"/>
  <c r="X132" i="4"/>
  <c r="X133" i="4"/>
  <c r="X134" i="4"/>
  <c r="X135" i="4"/>
  <c r="X136" i="4"/>
  <c r="X137" i="4"/>
  <c r="X138" i="4"/>
  <c r="X139" i="4"/>
  <c r="X140" i="4"/>
  <c r="X141" i="4"/>
  <c r="X142" i="4"/>
  <c r="X143" i="4"/>
  <c r="X144" i="4"/>
  <c r="X145" i="4"/>
  <c r="X146" i="4"/>
  <c r="X147" i="4"/>
  <c r="X148" i="4"/>
  <c r="X149" i="4"/>
  <c r="X150" i="4"/>
  <c r="X151" i="4"/>
  <c r="X152" i="4"/>
  <c r="X153" i="4"/>
  <c r="X154" i="4"/>
  <c r="X155" i="4"/>
  <c r="X156" i="4"/>
  <c r="X157" i="4"/>
  <c r="X158" i="4"/>
  <c r="X159" i="4"/>
  <c r="X17" i="4"/>
  <c r="X18" i="4"/>
  <c r="X19" i="4"/>
  <c r="X20" i="4"/>
  <c r="X21" i="4"/>
  <c r="X22" i="4"/>
  <c r="X23" i="4"/>
  <c r="X24" i="4"/>
  <c r="X25" i="4"/>
  <c r="X26" i="4"/>
  <c r="X27" i="4"/>
  <c r="X28" i="4"/>
  <c r="X29" i="4"/>
  <c r="X30" i="4"/>
  <c r="X31" i="4"/>
  <c r="X32" i="4"/>
  <c r="X33" i="4"/>
  <c r="X34" i="4"/>
  <c r="X35" i="4"/>
  <c r="X36" i="4"/>
  <c r="X37" i="4"/>
  <c r="X38" i="4"/>
  <c r="X39" i="4"/>
  <c r="X40" i="4"/>
  <c r="X41" i="4"/>
  <c r="X42" i="4"/>
  <c r="X43" i="4"/>
  <c r="X44" i="4"/>
  <c r="X45" i="4"/>
  <c r="X46" i="4"/>
  <c r="X47" i="4"/>
  <c r="X48" i="4"/>
  <c r="X49" i="4"/>
  <c r="X50" i="4"/>
  <c r="X51" i="4"/>
  <c r="X52" i="4"/>
  <c r="X53" i="4"/>
  <c r="X54" i="4"/>
  <c r="X55" i="4"/>
  <c r="X56" i="4"/>
  <c r="X57" i="4"/>
  <c r="X58" i="4"/>
  <c r="X59" i="4"/>
  <c r="X60" i="4"/>
  <c r="X61" i="4"/>
  <c r="X62" i="4"/>
  <c r="X63" i="4"/>
  <c r="X64" i="4"/>
  <c r="X65" i="4"/>
  <c r="X66" i="4"/>
  <c r="X67" i="4"/>
  <c r="X68" i="4"/>
  <c r="X69" i="4"/>
  <c r="X70" i="4"/>
  <c r="X71" i="4"/>
  <c r="X72" i="4"/>
  <c r="X73" i="4"/>
  <c r="X74" i="4"/>
  <c r="X75" i="4"/>
  <c r="X76" i="4"/>
  <c r="X77" i="4"/>
  <c r="X78" i="4"/>
  <c r="X79" i="4"/>
  <c r="X80" i="4"/>
  <c r="X81" i="4"/>
  <c r="X82" i="4"/>
  <c r="X83" i="4"/>
  <c r="X84" i="4"/>
  <c r="X85" i="4"/>
  <c r="X86" i="4"/>
  <c r="X87" i="4"/>
  <c r="X88" i="4"/>
  <c r="X89" i="4"/>
  <c r="X90" i="4"/>
  <c r="X91" i="4"/>
  <c r="X92" i="4"/>
  <c r="X93" i="4"/>
  <c r="X94" i="4"/>
  <c r="X95" i="4"/>
  <c r="X16" i="4"/>
  <c r="AA47" i="4"/>
  <c r="B50" i="8" l="1"/>
  <c r="B48" i="8" s="1"/>
  <c r="D50" i="8" s="1"/>
  <c r="E50" i="8" s="1"/>
  <c r="B31" i="8"/>
  <c r="B32" i="8" s="1"/>
  <c r="V23" i="4"/>
  <c r="V27" i="4" s="1"/>
  <c r="V31" i="4" s="1"/>
  <c r="V35" i="4" s="1"/>
  <c r="V39" i="4" s="1"/>
  <c r="V43" i="4" s="1"/>
  <c r="V47" i="4" s="1"/>
  <c r="V51" i="4" s="1"/>
  <c r="V55" i="4" s="1"/>
  <c r="V59" i="4" s="1"/>
  <c r="V63" i="4" s="1"/>
  <c r="V67" i="4" s="1"/>
  <c r="V71" i="4" s="1"/>
  <c r="V75" i="4" s="1"/>
  <c r="V79" i="4" s="1"/>
  <c r="V83" i="4" s="1"/>
  <c r="V87" i="4" s="1"/>
  <c r="V91" i="4" s="1"/>
  <c r="V95" i="4" s="1"/>
  <c r="V99" i="4" s="1"/>
  <c r="V103" i="4" s="1"/>
  <c r="V107" i="4" s="1"/>
  <c r="V111" i="4" s="1"/>
  <c r="V115" i="4" s="1"/>
  <c r="V119" i="4" s="1"/>
  <c r="V123" i="4" s="1"/>
  <c r="V127" i="4" s="1"/>
  <c r="V131" i="4" s="1"/>
  <c r="V135" i="4" s="1"/>
  <c r="V139" i="4" s="1"/>
  <c r="V143" i="4" s="1"/>
  <c r="V147" i="4" s="1"/>
  <c r="V151" i="4" s="1"/>
  <c r="V155" i="4" s="1"/>
  <c r="V159" i="4" s="1"/>
  <c r="U4" i="7"/>
  <c r="U5" i="7"/>
  <c r="U6" i="7"/>
  <c r="U7" i="7"/>
  <c r="U8" i="7"/>
  <c r="U9" i="7"/>
  <c r="U10" i="7"/>
  <c r="U11" i="7"/>
  <c r="U3" i="7"/>
  <c r="Q4" i="1"/>
  <c r="R4" i="1"/>
  <c r="Q5" i="1"/>
  <c r="R5" i="1"/>
  <c r="Q6" i="1"/>
  <c r="R6" i="1"/>
  <c r="Q7" i="1"/>
  <c r="R7" i="1"/>
  <c r="Q8" i="1"/>
  <c r="R8" i="1"/>
  <c r="T8" i="1"/>
  <c r="Q9" i="1"/>
  <c r="R9" i="1"/>
  <c r="Q10" i="1"/>
  <c r="R10" i="1"/>
  <c r="Q11" i="1"/>
  <c r="R11" i="1"/>
  <c r="R3" i="1"/>
  <c r="Q3" i="1"/>
  <c r="AD4" i="1"/>
  <c r="AD5" i="1"/>
  <c r="AD7" i="1"/>
  <c r="AD8" i="1"/>
  <c r="AD9" i="1"/>
  <c r="AD10" i="1"/>
  <c r="AD11" i="1"/>
  <c r="AD3" i="1"/>
  <c r="O4" i="1"/>
  <c r="O5" i="1"/>
  <c r="O6" i="1"/>
  <c r="O7" i="1"/>
  <c r="O8" i="1"/>
  <c r="O9" i="1"/>
  <c r="O10" i="1"/>
  <c r="O11" i="1"/>
  <c r="O3" i="1"/>
  <c r="C14" i="4"/>
  <c r="C12" i="4"/>
  <c r="C13" i="4" s="1"/>
  <c r="H4" i="4"/>
  <c r="H5" i="4"/>
  <c r="H6" i="4"/>
  <c r="H7" i="4"/>
  <c r="H8" i="4"/>
  <c r="H9" i="4"/>
  <c r="H10" i="4"/>
  <c r="H11" i="4"/>
  <c r="H3" i="4"/>
  <c r="T4" i="1"/>
  <c r="T5" i="1"/>
  <c r="T6" i="1"/>
  <c r="T7" i="1"/>
  <c r="T9" i="1"/>
  <c r="T10" i="1"/>
  <c r="T11" i="1"/>
  <c r="T3" i="1"/>
  <c r="E4" i="7"/>
  <c r="F4" i="7"/>
  <c r="G4" i="7"/>
  <c r="E5" i="7"/>
  <c r="F5" i="7"/>
  <c r="G5" i="7"/>
  <c r="E6" i="7"/>
  <c r="F6" i="7"/>
  <c r="G6" i="7"/>
  <c r="E7" i="7"/>
  <c r="F7" i="7"/>
  <c r="G7" i="7"/>
  <c r="E8" i="7"/>
  <c r="F8" i="7"/>
  <c r="G8" i="7"/>
  <c r="E9" i="7"/>
  <c r="F9" i="7"/>
  <c r="G9" i="7"/>
  <c r="E10" i="7"/>
  <c r="F10" i="7"/>
  <c r="G10" i="7"/>
  <c r="E11" i="7"/>
  <c r="F11" i="7"/>
  <c r="G11" i="7"/>
  <c r="F3" i="7"/>
  <c r="G3" i="7"/>
  <c r="E3" i="7"/>
  <c r="P3" i="1"/>
  <c r="P4" i="1"/>
  <c r="P5" i="1"/>
  <c r="P6" i="1"/>
  <c r="P7" i="1"/>
  <c r="P8" i="1"/>
  <c r="P9" i="1"/>
  <c r="P10" i="1"/>
  <c r="P11" i="1"/>
  <c r="N11" i="1"/>
  <c r="N10" i="1"/>
  <c r="N9" i="1"/>
  <c r="N8" i="1"/>
  <c r="N7" i="1"/>
  <c r="N5" i="1"/>
  <c r="N4" i="1"/>
  <c r="N3" i="1"/>
  <c r="M3" i="4"/>
  <c r="M17" i="4"/>
  <c r="A17" i="4" s="1"/>
  <c r="M18" i="4"/>
  <c r="A18" i="4" s="1"/>
  <c r="M19" i="4"/>
  <c r="A19" i="4" s="1"/>
  <c r="M20" i="4"/>
  <c r="A20" i="4" s="1"/>
  <c r="M21" i="4"/>
  <c r="A21" i="4" s="1"/>
  <c r="M22" i="4"/>
  <c r="A22" i="4" s="1"/>
  <c r="M23" i="4"/>
  <c r="A23" i="4" s="1"/>
  <c r="M24" i="4"/>
  <c r="N24" i="4" s="1"/>
  <c r="M25" i="4"/>
  <c r="A25" i="4" s="1"/>
  <c r="M26" i="4"/>
  <c r="A26" i="4" s="1"/>
  <c r="M27" i="4"/>
  <c r="A27" i="4" s="1"/>
  <c r="M28" i="4"/>
  <c r="N28" i="4" s="1"/>
  <c r="M29" i="4"/>
  <c r="A29" i="4" s="1"/>
  <c r="M30" i="4"/>
  <c r="A30" i="4" s="1"/>
  <c r="M31" i="4"/>
  <c r="A31" i="4" s="1"/>
  <c r="M32" i="4"/>
  <c r="K32" i="4" s="1"/>
  <c r="L32" i="4" s="1"/>
  <c r="M33" i="4"/>
  <c r="A33" i="4" s="1"/>
  <c r="M34" i="4"/>
  <c r="A34" i="4" s="1"/>
  <c r="M35" i="4"/>
  <c r="A35" i="4" s="1"/>
  <c r="M36" i="4"/>
  <c r="K36" i="4" s="1"/>
  <c r="L36" i="4" s="1"/>
  <c r="M37" i="4"/>
  <c r="A37" i="4" s="1"/>
  <c r="M38" i="4"/>
  <c r="A38" i="4" s="1"/>
  <c r="M39" i="4"/>
  <c r="A39" i="4" s="1"/>
  <c r="M40" i="4"/>
  <c r="K40" i="4" s="1"/>
  <c r="L40" i="4" s="1"/>
  <c r="M41" i="4"/>
  <c r="A41" i="4" s="1"/>
  <c r="M42" i="4"/>
  <c r="N42" i="4" s="1"/>
  <c r="M43" i="4"/>
  <c r="N43" i="4" s="1"/>
  <c r="M44" i="4"/>
  <c r="K44" i="4" s="1"/>
  <c r="L44" i="4" s="1"/>
  <c r="M45" i="4"/>
  <c r="A45" i="4" s="1"/>
  <c r="M46" i="4"/>
  <c r="N46" i="4" s="1"/>
  <c r="M47" i="4"/>
  <c r="A47" i="4" s="1"/>
  <c r="M48" i="4"/>
  <c r="K48" i="4" s="1"/>
  <c r="L48" i="4" s="1"/>
  <c r="M49" i="4"/>
  <c r="A49" i="4" s="1"/>
  <c r="M50" i="4"/>
  <c r="A50" i="4" s="1"/>
  <c r="M51" i="4"/>
  <c r="N51" i="4" s="1"/>
  <c r="M52" i="4"/>
  <c r="K52" i="4" s="1"/>
  <c r="L52" i="4" s="1"/>
  <c r="J52" i="4" s="1"/>
  <c r="M53" i="4"/>
  <c r="A53" i="4" s="1"/>
  <c r="M54" i="4"/>
  <c r="A54" i="4" s="1"/>
  <c r="M55" i="4"/>
  <c r="M56" i="4"/>
  <c r="N56" i="4" s="1"/>
  <c r="M57" i="4"/>
  <c r="A57" i="4" s="1"/>
  <c r="M58" i="4"/>
  <c r="A58" i="4" s="1"/>
  <c r="M59" i="4"/>
  <c r="K59" i="4" s="1"/>
  <c r="L59" i="4" s="1"/>
  <c r="J59" i="4" s="1"/>
  <c r="M60" i="4"/>
  <c r="N60" i="4" s="1"/>
  <c r="M61" i="4"/>
  <c r="A61" i="4" s="1"/>
  <c r="M62" i="4"/>
  <c r="A62" i="4" s="1"/>
  <c r="M63" i="4"/>
  <c r="K63" i="4" s="1"/>
  <c r="M16" i="4"/>
  <c r="A16" i="4" s="1"/>
  <c r="G4" i="4"/>
  <c r="K4" i="4" s="1"/>
  <c r="G5" i="4"/>
  <c r="K5" i="4" s="1"/>
  <c r="G7" i="4"/>
  <c r="K7" i="4" s="1"/>
  <c r="G8" i="4"/>
  <c r="K8" i="4" s="1"/>
  <c r="G9" i="4"/>
  <c r="K9" i="4" s="1"/>
  <c r="G10" i="4"/>
  <c r="K10" i="4" s="1"/>
  <c r="G11" i="4"/>
  <c r="K11" i="4" s="1"/>
  <c r="AE9" i="1" l="1"/>
  <c r="AE5" i="1"/>
  <c r="AE6" i="1"/>
  <c r="AE10" i="1"/>
  <c r="AE7" i="1"/>
  <c r="V11" i="7"/>
  <c r="V7" i="7"/>
  <c r="S7" i="1" s="1"/>
  <c r="AE11" i="1"/>
  <c r="V8" i="7"/>
  <c r="S8" i="1" s="1"/>
  <c r="V4" i="7"/>
  <c r="V9" i="7"/>
  <c r="S9" i="1" s="1"/>
  <c r="V5" i="7"/>
  <c r="X5" i="7" s="1"/>
  <c r="U5" i="1" s="1"/>
  <c r="V3" i="7"/>
  <c r="Y3" i="7" s="1"/>
  <c r="V10" i="7"/>
  <c r="S10" i="1" s="1"/>
  <c r="V6" i="7"/>
  <c r="AE3" i="1"/>
  <c r="AE4" i="1"/>
  <c r="AE8" i="1"/>
  <c r="I3" i="4"/>
  <c r="I10" i="4"/>
  <c r="F10" i="4" s="1"/>
  <c r="I8" i="4"/>
  <c r="F8" i="4" s="1"/>
  <c r="I6" i="4"/>
  <c r="F6" i="4" s="1"/>
  <c r="I4" i="4"/>
  <c r="F4" i="4" s="1"/>
  <c r="I11" i="4"/>
  <c r="J11" i="4" s="1"/>
  <c r="I9" i="4"/>
  <c r="J9" i="4" s="1"/>
  <c r="I7" i="4"/>
  <c r="F7" i="4" s="1"/>
  <c r="I5" i="4"/>
  <c r="F5" i="4" s="1"/>
  <c r="N59" i="4"/>
  <c r="K62" i="4"/>
  <c r="L62" i="4" s="1"/>
  <c r="J62" i="4" s="1"/>
  <c r="K47" i="4"/>
  <c r="L47" i="4" s="1"/>
  <c r="N54" i="4"/>
  <c r="K58" i="4"/>
  <c r="L58" i="4" s="1"/>
  <c r="J58" i="4" s="1"/>
  <c r="K43" i="4"/>
  <c r="L43" i="4" s="1"/>
  <c r="N50" i="4"/>
  <c r="K55" i="4"/>
  <c r="K39" i="4"/>
  <c r="N27" i="4"/>
  <c r="K51" i="4"/>
  <c r="L51" i="4" s="1"/>
  <c r="K35" i="4"/>
  <c r="L35" i="4" s="1"/>
  <c r="N41" i="4"/>
  <c r="N32" i="4"/>
  <c r="A60" i="4"/>
  <c r="A48" i="4"/>
  <c r="A36" i="4"/>
  <c r="A28" i="4"/>
  <c r="A24" i="4"/>
  <c r="N62" i="4"/>
  <c r="N58" i="4"/>
  <c r="N53" i="4"/>
  <c r="N49" i="4"/>
  <c r="N44" i="4"/>
  <c r="N40" i="4"/>
  <c r="N35" i="4"/>
  <c r="N30" i="4"/>
  <c r="N26" i="4"/>
  <c r="K61" i="4"/>
  <c r="L61" i="4" s="1"/>
  <c r="K57" i="4"/>
  <c r="L57" i="4" s="1"/>
  <c r="J57" i="4" s="1"/>
  <c r="K54" i="4"/>
  <c r="L54" i="4" s="1"/>
  <c r="J54" i="4" s="1"/>
  <c r="K50" i="4"/>
  <c r="L50" i="4" s="1"/>
  <c r="K46" i="4"/>
  <c r="L46" i="4" s="1"/>
  <c r="K42" i="4"/>
  <c r="L42" i="4" s="1"/>
  <c r="K38" i="4"/>
  <c r="L38" i="4" s="1"/>
  <c r="K34" i="4"/>
  <c r="L34" i="4" s="1"/>
  <c r="A63" i="4"/>
  <c r="A59" i="4"/>
  <c r="A55" i="4"/>
  <c r="A51" i="4"/>
  <c r="A43" i="4"/>
  <c r="N45" i="4"/>
  <c r="N36" i="4"/>
  <c r="A56" i="4"/>
  <c r="A52" i="4"/>
  <c r="A44" i="4"/>
  <c r="A40" i="4"/>
  <c r="A32" i="4"/>
  <c r="N61" i="4"/>
  <c r="N57" i="4"/>
  <c r="N52" i="4"/>
  <c r="N48" i="4"/>
  <c r="N38" i="4"/>
  <c r="N34" i="4"/>
  <c r="N29" i="4"/>
  <c r="N25" i="4"/>
  <c r="K60" i="4"/>
  <c r="L60" i="4" s="1"/>
  <c r="J60" i="4" s="1"/>
  <c r="K56" i="4"/>
  <c r="L56" i="4" s="1"/>
  <c r="J56" i="4" s="1"/>
  <c r="K53" i="4"/>
  <c r="L53" i="4" s="1"/>
  <c r="K49" i="4"/>
  <c r="L49" i="4" s="1"/>
  <c r="K45" i="4"/>
  <c r="L45" i="4" s="1"/>
  <c r="K41" i="4"/>
  <c r="L41" i="4" s="1"/>
  <c r="K37" i="4"/>
  <c r="L37" i="4" s="1"/>
  <c r="K33" i="4"/>
  <c r="L33" i="4" s="1"/>
  <c r="A46" i="4"/>
  <c r="A42" i="4"/>
  <c r="N37" i="4"/>
  <c r="N33" i="4"/>
  <c r="L63" i="4"/>
  <c r="J63" i="4" s="1"/>
  <c r="S3" i="1" l="1"/>
  <c r="J5" i="4"/>
  <c r="F9" i="4"/>
  <c r="F11" i="4"/>
  <c r="J10" i="4"/>
  <c r="X10" i="7"/>
  <c r="U10" i="1" s="1"/>
  <c r="Y5" i="7"/>
  <c r="S5" i="1"/>
  <c r="J8" i="4"/>
  <c r="L39" i="4"/>
  <c r="Z111" i="4"/>
  <c r="L55" i="4"/>
  <c r="J55" i="4" s="1"/>
  <c r="X8" i="7"/>
  <c r="U8" i="1" s="1"/>
  <c r="X11" i="7"/>
  <c r="U11" i="1" s="1"/>
  <c r="S11" i="1"/>
  <c r="Y10" i="7"/>
  <c r="Y7" i="7"/>
  <c r="X4" i="7"/>
  <c r="U4" i="1" s="1"/>
  <c r="S4" i="1"/>
  <c r="Y6" i="7"/>
  <c r="S6" i="1"/>
  <c r="X6" i="7"/>
  <c r="U6" i="1" s="1"/>
  <c r="J7" i="4"/>
  <c r="J6" i="4"/>
  <c r="J4" i="4"/>
  <c r="X9" i="7"/>
  <c r="U9" i="1" s="1"/>
  <c r="Y9" i="7"/>
  <c r="Y8" i="7"/>
  <c r="X7" i="7"/>
  <c r="U7" i="1" s="1"/>
  <c r="Y4" i="7"/>
  <c r="Y11" i="7"/>
  <c r="X3" i="7"/>
  <c r="U3" i="1" s="1"/>
  <c r="J53" i="4"/>
  <c r="J61" i="4"/>
  <c r="K17" i="4"/>
  <c r="K18" i="4"/>
  <c r="K19" i="4"/>
  <c r="K20" i="4"/>
  <c r="K21" i="4"/>
  <c r="K22" i="4"/>
  <c r="K23" i="4"/>
  <c r="Z47" i="4" s="1"/>
  <c r="K24" i="4"/>
  <c r="K25" i="4"/>
  <c r="K26" i="4"/>
  <c r="K27" i="4"/>
  <c r="K28" i="4"/>
  <c r="K29" i="4"/>
  <c r="K30" i="4"/>
  <c r="K31" i="4"/>
  <c r="Z79" i="4" s="1"/>
  <c r="K16" i="4"/>
  <c r="L16" i="4" s="1"/>
  <c r="G3" i="4"/>
  <c r="K3" i="4" s="1"/>
  <c r="Q3" i="4"/>
  <c r="E24" i="7" l="1"/>
  <c r="I19" i="7"/>
  <c r="Y16" i="7" s="1"/>
  <c r="I17" i="7"/>
  <c r="Y19" i="7" s="1"/>
  <c r="E21" i="7"/>
  <c r="F21" i="7" s="1"/>
  <c r="E16" i="7"/>
  <c r="I22" i="7"/>
  <c r="Y20" i="7" s="1"/>
  <c r="E19" i="7"/>
  <c r="F19" i="7" s="1"/>
  <c r="E17" i="7"/>
  <c r="F17" i="7" s="1"/>
  <c r="E18" i="7"/>
  <c r="F18" i="7" s="1"/>
  <c r="I21" i="7"/>
  <c r="Y21" i="7" s="1"/>
  <c r="I20" i="7"/>
  <c r="Y17" i="7" s="1"/>
  <c r="E22" i="7"/>
  <c r="F22" i="7" s="1"/>
  <c r="E20" i="7"/>
  <c r="F20" i="7" s="1"/>
  <c r="I18" i="7"/>
  <c r="Y18" i="7" s="1"/>
  <c r="I16" i="7"/>
  <c r="S3" i="4"/>
  <c r="Q5" i="4" s="1"/>
  <c r="P3" i="4"/>
  <c r="F3" i="4"/>
  <c r="N3" i="4" s="1"/>
  <c r="X12" i="7"/>
  <c r="O3" i="4"/>
  <c r="J33" i="4"/>
  <c r="J34" i="4"/>
  <c r="J49" i="4"/>
  <c r="L18" i="4"/>
  <c r="J18" i="4" s="1"/>
  <c r="L17" i="4"/>
  <c r="J17" i="4" s="1"/>
  <c r="J16" i="4"/>
  <c r="J38" i="4"/>
  <c r="J47" i="4"/>
  <c r="J46" i="4"/>
  <c r="J45" i="4"/>
  <c r="L31" i="4"/>
  <c r="J31" i="4" s="1"/>
  <c r="Y79" i="4" s="1"/>
  <c r="L30" i="4"/>
  <c r="J30" i="4" s="1"/>
  <c r="J48" i="4"/>
  <c r="L29" i="4"/>
  <c r="J29" i="4" s="1"/>
  <c r="L22" i="4"/>
  <c r="J22" i="4" s="1"/>
  <c r="J32" i="4"/>
  <c r="L21" i="4"/>
  <c r="J21" i="4" s="1"/>
  <c r="J44" i="4"/>
  <c r="L28" i="4"/>
  <c r="J28" i="4" s="1"/>
  <c r="J43" i="4"/>
  <c r="L27" i="4"/>
  <c r="J27" i="4" s="1"/>
  <c r="J42" i="4"/>
  <c r="L26" i="4"/>
  <c r="J26" i="4" s="1"/>
  <c r="J41" i="4"/>
  <c r="L25" i="4"/>
  <c r="J25" i="4" s="1"/>
  <c r="J40" i="4"/>
  <c r="L24" i="4"/>
  <c r="J24" i="4" s="1"/>
  <c r="L23" i="4"/>
  <c r="L20" i="4"/>
  <c r="J20" i="4" s="1"/>
  <c r="J35" i="4"/>
  <c r="L19" i="4"/>
  <c r="J19" i="4" s="1"/>
  <c r="J36" i="4"/>
  <c r="J50" i="4"/>
  <c r="J37" i="4"/>
  <c r="J3" i="4"/>
  <c r="J12" i="4" s="1"/>
  <c r="Y25" i="7" l="1"/>
  <c r="Y24" i="7"/>
  <c r="Y23" i="7"/>
  <c r="Y22" i="7"/>
  <c r="F16" i="7"/>
  <c r="E27" i="7" s="1"/>
  <c r="F27" i="7" s="1"/>
  <c r="E23" i="7"/>
  <c r="T16" i="4"/>
  <c r="T17" i="4" s="1"/>
  <c r="T18" i="4" s="1"/>
  <c r="T19" i="4" s="1"/>
  <c r="T20" i="4" s="1"/>
  <c r="T21" i="4" s="1"/>
  <c r="T22" i="4" s="1"/>
  <c r="T23" i="4" s="1"/>
  <c r="T24" i="4" s="1"/>
  <c r="T25" i="4" s="1"/>
  <c r="T26" i="4" s="1"/>
  <c r="T27" i="4" s="1"/>
  <c r="T28" i="4" s="1"/>
  <c r="T29" i="4" s="1"/>
  <c r="T30" i="4" s="1"/>
  <c r="T31" i="4" s="1"/>
  <c r="T32" i="4" s="1"/>
  <c r="T33" i="4" s="1"/>
  <c r="T34" i="4" s="1"/>
  <c r="T35" i="4" s="1"/>
  <c r="T36" i="4" s="1"/>
  <c r="T37" i="4" s="1"/>
  <c r="T38" i="4" s="1"/>
  <c r="T39" i="4" s="1"/>
  <c r="T40" i="4" s="1"/>
  <c r="T41" i="4" s="1"/>
  <c r="T42" i="4" s="1"/>
  <c r="T43" i="4" s="1"/>
  <c r="T44" i="4" s="1"/>
  <c r="T45" i="4" s="1"/>
  <c r="T46" i="4" s="1"/>
  <c r="J23" i="4"/>
  <c r="G16" i="4"/>
  <c r="G17" i="4" s="1" a="1"/>
  <c r="G17" i="4" s="1"/>
  <c r="G18" i="4" s="1" a="1"/>
  <c r="G18" i="4" s="1"/>
  <c r="G19" i="4" s="1" a="1"/>
  <c r="G19" i="4" s="1"/>
  <c r="G20" i="4" s="1" a="1"/>
  <c r="G20" i="4" s="1"/>
  <c r="G21" i="4" s="1" a="1"/>
  <c r="G21" i="4" s="1"/>
  <c r="G22" i="4" s="1" a="1"/>
  <c r="G22" i="4" s="1"/>
  <c r="L21" i="1"/>
  <c r="N21" i="1" s="1"/>
  <c r="V21" i="1" s="1"/>
  <c r="AC6" i="1"/>
  <c r="AB7" i="1"/>
  <c r="AD6" i="1" l="1"/>
  <c r="E6" i="4"/>
  <c r="G6" i="4" s="1"/>
  <c r="K6" i="4" s="1"/>
  <c r="K12" i="4" s="1"/>
  <c r="Y47" i="4"/>
  <c r="T47" i="4" s="1"/>
  <c r="T48" i="4" s="1"/>
  <c r="T49" i="4" s="1"/>
  <c r="T50" i="4" s="1"/>
  <c r="T51" i="4" s="1"/>
  <c r="T52" i="4" s="1"/>
  <c r="T53" i="4" s="1"/>
  <c r="T54" i="4" s="1"/>
  <c r="T55" i="4" s="1"/>
  <c r="T56" i="4" s="1"/>
  <c r="T57" i="4" s="1"/>
  <c r="T58" i="4" s="1"/>
  <c r="T59" i="4" s="1"/>
  <c r="T60" i="4" s="1"/>
  <c r="T61" i="4" s="1"/>
  <c r="T62" i="4" s="1"/>
  <c r="T63" i="4" s="1"/>
  <c r="T64" i="4" s="1"/>
  <c r="T65" i="4" s="1"/>
  <c r="T66" i="4" s="1"/>
  <c r="T67" i="4" s="1"/>
  <c r="T68" i="4" s="1"/>
  <c r="T69" i="4" s="1"/>
  <c r="T70" i="4" s="1"/>
  <c r="T71" i="4" s="1"/>
  <c r="T72" i="4" s="1"/>
  <c r="T73" i="4" s="1"/>
  <c r="T74" i="4" s="1"/>
  <c r="T75" i="4" s="1"/>
  <c r="T76" i="4" s="1"/>
  <c r="T77" i="4" s="1"/>
  <c r="T78" i="4" s="1"/>
  <c r="T79" i="4" s="1"/>
  <c r="T80" i="4" s="1"/>
  <c r="T81" i="4" s="1"/>
  <c r="T82" i="4" s="1"/>
  <c r="T83" i="4" s="1"/>
  <c r="T84" i="4" s="1"/>
  <c r="T85" i="4" s="1"/>
  <c r="T86" i="4" s="1"/>
  <c r="T87" i="4" s="1"/>
  <c r="T88" i="4" s="1"/>
  <c r="T89" i="4" s="1"/>
  <c r="T90" i="4" s="1"/>
  <c r="T91" i="4" s="1"/>
  <c r="T92" i="4" s="1"/>
  <c r="T93" i="4" s="1"/>
  <c r="T94" i="4" s="1"/>
  <c r="T95" i="4" s="1"/>
  <c r="T96" i="4" s="1"/>
  <c r="T97" i="4" s="1"/>
  <c r="T98" i="4" s="1"/>
  <c r="T99" i="4" s="1"/>
  <c r="T100" i="4" s="1"/>
  <c r="T101" i="4" s="1"/>
  <c r="T102" i="4" s="1"/>
  <c r="T103" i="4" s="1"/>
  <c r="T104" i="4" s="1"/>
  <c r="T105" i="4" s="1"/>
  <c r="T106" i="4" s="1"/>
  <c r="T107" i="4" s="1"/>
  <c r="T108" i="4" s="1"/>
  <c r="T109" i="4" s="1"/>
  <c r="T110" i="4" s="1"/>
  <c r="G23" i="4" a="1"/>
  <c r="G23" i="4" s="1"/>
  <c r="G24" i="4" s="1" a="1"/>
  <c r="G24" i="4" s="1"/>
  <c r="G25" i="4" s="1" a="1"/>
  <c r="G25" i="4" s="1"/>
  <c r="G26" i="4" s="1" a="1"/>
  <c r="G26" i="4" s="1"/>
  <c r="G27" i="4" s="1" a="1"/>
  <c r="G27" i="4" s="1"/>
  <c r="G28" i="4" s="1" a="1"/>
  <c r="G28" i="4" s="1"/>
  <c r="G29" i="4" s="1" a="1"/>
  <c r="G29" i="4" s="1"/>
  <c r="G30" i="4" s="1" a="1"/>
  <c r="G30" i="4" s="1"/>
  <c r="G31" i="4" s="1" a="1"/>
  <c r="G31" i="4" s="1"/>
  <c r="G32" i="4" s="1" a="1"/>
  <c r="G32" i="4" s="1"/>
  <c r="G33" i="4" s="1" a="1"/>
  <c r="G33" i="4" s="1"/>
  <c r="G34" i="4" s="1" a="1"/>
  <c r="G34" i="4" s="1"/>
  <c r="G35" i="4" s="1" a="1"/>
  <c r="G35" i="4" s="1"/>
  <c r="G36" i="4" s="1" a="1"/>
  <c r="G36" i="4" s="1"/>
  <c r="G37" i="4" s="1" a="1"/>
  <c r="G37" i="4" s="1"/>
  <c r="G38" i="4" s="1" a="1"/>
  <c r="G38" i="4" s="1"/>
  <c r="U17" i="4"/>
  <c r="U16" i="4"/>
  <c r="N31" i="4"/>
  <c r="H16" i="4"/>
  <c r="I16" i="4"/>
  <c r="I17" i="4"/>
  <c r="H17" i="4"/>
  <c r="AD12" i="1"/>
  <c r="Z9" i="1"/>
  <c r="Z3" i="1"/>
  <c r="X3" i="1"/>
  <c r="Y3" i="1"/>
  <c r="AM4" i="1"/>
  <c r="AM5" i="1"/>
  <c r="AM6" i="1"/>
  <c r="AM7" i="1"/>
  <c r="AM8" i="1"/>
  <c r="AM9" i="1"/>
  <c r="AM10" i="1"/>
  <c r="AM11" i="1"/>
  <c r="AM3" i="1"/>
  <c r="F4" i="1"/>
  <c r="F5" i="1"/>
  <c r="F6" i="1"/>
  <c r="F7" i="1"/>
  <c r="F8" i="1"/>
  <c r="F9" i="1"/>
  <c r="F10" i="1"/>
  <c r="F11" i="1"/>
  <c r="F3" i="1"/>
  <c r="AB3" i="1"/>
  <c r="L4" i="1"/>
  <c r="L5" i="1"/>
  <c r="L6" i="1"/>
  <c r="L7" i="1"/>
  <c r="L8" i="1"/>
  <c r="L9" i="1"/>
  <c r="L10" i="1"/>
  <c r="L11" i="1"/>
  <c r="L3" i="1"/>
  <c r="Z11" i="1"/>
  <c r="Y9" i="1"/>
  <c r="Y8" i="1"/>
  <c r="Z8" i="1"/>
  <c r="X8" i="1"/>
  <c r="Z7" i="1"/>
  <c r="Y7" i="1"/>
  <c r="AB6" i="1"/>
  <c r="X6" i="1"/>
  <c r="Z6" i="1"/>
  <c r="Y6" i="1"/>
  <c r="AB5" i="1"/>
  <c r="Z5" i="1"/>
  <c r="X5" i="1"/>
  <c r="AA5" i="1"/>
  <c r="Y5" i="1"/>
  <c r="X4" i="1"/>
  <c r="Y4" i="1"/>
  <c r="AB4" i="1"/>
  <c r="Z4" i="1"/>
  <c r="U18" i="4" l="1"/>
  <c r="N39" i="4"/>
  <c r="AA111" i="4" s="1"/>
  <c r="AA79" i="4"/>
  <c r="I18" i="4"/>
  <c r="J39" i="4"/>
  <c r="Y111" i="4" s="1"/>
  <c r="T111" i="4" s="1"/>
  <c r="T112" i="4" s="1"/>
  <c r="T113" i="4" s="1"/>
  <c r="T114" i="4" s="1"/>
  <c r="T115" i="4" s="1"/>
  <c r="T116" i="4" s="1"/>
  <c r="T117" i="4" s="1"/>
  <c r="T118" i="4" s="1"/>
  <c r="T119" i="4" s="1"/>
  <c r="T120" i="4" s="1"/>
  <c r="T121" i="4" s="1"/>
  <c r="T122" i="4" s="1"/>
  <c r="T123" i="4" s="1"/>
  <c r="T124" i="4" s="1"/>
  <c r="T125" i="4" s="1"/>
  <c r="T126" i="4" s="1"/>
  <c r="T127" i="4" s="1"/>
  <c r="T128" i="4" s="1"/>
  <c r="T129" i="4" s="1"/>
  <c r="T130" i="4" s="1"/>
  <c r="T131" i="4" s="1"/>
  <c r="T132" i="4" s="1"/>
  <c r="T133" i="4" s="1"/>
  <c r="T134" i="4" s="1"/>
  <c r="T135" i="4" s="1"/>
  <c r="T136" i="4" s="1"/>
  <c r="T137" i="4" s="1"/>
  <c r="T138" i="4" s="1"/>
  <c r="T139" i="4" s="1"/>
  <c r="T140" i="4" s="1"/>
  <c r="T141" i="4" s="1"/>
  <c r="T142" i="4" s="1"/>
  <c r="T143" i="4" s="1"/>
  <c r="T144" i="4" s="1"/>
  <c r="T145" i="4" s="1"/>
  <c r="T146" i="4" s="1"/>
  <c r="T147" i="4" s="1"/>
  <c r="T148" i="4" s="1"/>
  <c r="T149" i="4" s="1"/>
  <c r="T150" i="4" s="1"/>
  <c r="T151" i="4" s="1"/>
  <c r="T152" i="4" s="1"/>
  <c r="T153" i="4" s="1"/>
  <c r="T154" i="4" s="1"/>
  <c r="T155" i="4" s="1"/>
  <c r="T156" i="4" s="1"/>
  <c r="T157" i="4" s="1"/>
  <c r="T158" i="4" s="1"/>
  <c r="T159" i="4" s="1"/>
  <c r="H18" i="4"/>
  <c r="G39" i="4" l="1" a="1"/>
  <c r="G39" i="4" s="1"/>
  <c r="G40" i="4" s="1" a="1"/>
  <c r="G40" i="4" s="1"/>
  <c r="G41" i="4" s="1" a="1"/>
  <c r="G41" i="4" s="1"/>
  <c r="G42" i="4" s="1" a="1"/>
  <c r="G42" i="4" s="1"/>
  <c r="G43" i="4" s="1" a="1"/>
  <c r="G43" i="4" s="1"/>
  <c r="G44" i="4" s="1" a="1"/>
  <c r="G44" i="4" s="1"/>
  <c r="G45" i="4" s="1" a="1"/>
  <c r="G45" i="4" s="1"/>
  <c r="G46" i="4" s="1" a="1"/>
  <c r="G46" i="4" s="1"/>
  <c r="G47" i="4" s="1" a="1"/>
  <c r="G47" i="4" s="1"/>
  <c r="G48" i="4" s="1" a="1"/>
  <c r="G48" i="4" s="1"/>
  <c r="G49" i="4" s="1" a="1"/>
  <c r="G49" i="4" s="1"/>
  <c r="G50" i="4" s="1" a="1"/>
  <c r="G50" i="4" s="1"/>
  <c r="G51" i="4" s="1" a="1"/>
  <c r="G51" i="4" s="1"/>
  <c r="G52" i="4" s="1" a="1"/>
  <c r="G52" i="4" s="1"/>
  <c r="G53" i="4" s="1" a="1"/>
  <c r="G53" i="4" s="1"/>
  <c r="G54" i="4" s="1" a="1"/>
  <c r="G54" i="4" s="1"/>
  <c r="G55" i="4" s="1" a="1"/>
  <c r="G55" i="4" s="1"/>
  <c r="G56" i="4" s="1" a="1"/>
  <c r="G56" i="4" s="1"/>
  <c r="G57" i="4" s="1" a="1"/>
  <c r="G57" i="4" s="1"/>
  <c r="G58" i="4" s="1" a="1"/>
  <c r="G58" i="4" s="1"/>
  <c r="G59" i="4" s="1" a="1"/>
  <c r="G59" i="4" s="1"/>
  <c r="G60" i="4" s="1" a="1"/>
  <c r="G60" i="4" s="1"/>
  <c r="G61" i="4" s="1" a="1"/>
  <c r="G61" i="4" s="1"/>
  <c r="G62" i="4" s="1" a="1"/>
  <c r="G62" i="4" s="1"/>
  <c r="G63" i="4" s="1" a="1"/>
  <c r="G63" i="4" s="1"/>
  <c r="U19" i="4"/>
  <c r="I19" i="4"/>
  <c r="N47" i="4"/>
  <c r="N55" i="4" s="1"/>
  <c r="H19" i="4"/>
  <c r="U20" i="4" l="1"/>
  <c r="N63" i="4"/>
  <c r="I20" i="4"/>
  <c r="J51" i="4"/>
  <c r="H20" i="4"/>
  <c r="U21" i="4" l="1"/>
  <c r="I21" i="4"/>
  <c r="H21" i="4"/>
  <c r="U22" i="4" l="1"/>
  <c r="I22" i="4"/>
  <c r="H22" i="4"/>
  <c r="U23" i="4" l="1"/>
  <c r="I23" i="4"/>
  <c r="H23" i="4"/>
  <c r="U24" i="4" l="1"/>
  <c r="I24" i="4"/>
  <c r="H24" i="4"/>
  <c r="U25" i="4" l="1"/>
  <c r="I25" i="4"/>
  <c r="H25" i="4"/>
  <c r="U26" i="4" l="1"/>
  <c r="I26" i="4"/>
  <c r="H26" i="4"/>
  <c r="U27" i="4" l="1"/>
  <c r="I27" i="4"/>
  <c r="H27" i="4"/>
  <c r="U28" i="4" l="1"/>
  <c r="I28" i="4"/>
  <c r="H28" i="4"/>
  <c r="U29" i="4" l="1"/>
  <c r="I29" i="4"/>
  <c r="H29" i="4"/>
  <c r="U30" i="4" l="1"/>
  <c r="I30" i="4"/>
  <c r="H30" i="4"/>
  <c r="U31" i="4" l="1"/>
  <c r="I31" i="4"/>
  <c r="H31" i="4"/>
  <c r="U32" i="4" l="1"/>
  <c r="I32" i="4"/>
  <c r="H32" i="4"/>
  <c r="U33" i="4" l="1"/>
  <c r="I33" i="4"/>
  <c r="H33" i="4"/>
  <c r="U34" i="4" l="1"/>
  <c r="I34" i="4"/>
  <c r="H34" i="4"/>
  <c r="U35" i="4" l="1"/>
  <c r="I35" i="4"/>
  <c r="H35" i="4"/>
  <c r="U36" i="4" l="1"/>
  <c r="I36" i="4"/>
  <c r="H36" i="4"/>
  <c r="U37" i="4" l="1"/>
  <c r="I37" i="4"/>
  <c r="H37" i="4"/>
  <c r="U38" i="4" l="1"/>
  <c r="I38" i="4"/>
  <c r="H38" i="4"/>
  <c r="U39" i="4" l="1"/>
  <c r="I39" i="4"/>
  <c r="H39" i="4"/>
  <c r="U40" i="4" l="1"/>
  <c r="I40" i="4"/>
  <c r="H40" i="4"/>
  <c r="U41" i="4" l="1"/>
  <c r="I41" i="4"/>
  <c r="H41" i="4"/>
  <c r="U42" i="4" l="1"/>
  <c r="I42" i="4"/>
  <c r="H42" i="4"/>
  <c r="U43" i="4" l="1"/>
  <c r="I43" i="4"/>
  <c r="H43" i="4"/>
  <c r="U44" i="4" l="1"/>
  <c r="I44" i="4"/>
  <c r="H44" i="4"/>
  <c r="U45" i="4" l="1"/>
  <c r="I45" i="4"/>
  <c r="H45" i="4"/>
  <c r="U46" i="4" l="1"/>
  <c r="I46" i="4"/>
  <c r="H46" i="4"/>
  <c r="U47" i="4" l="1"/>
  <c r="I47" i="4"/>
  <c r="H47" i="4"/>
  <c r="U48" i="4" l="1"/>
  <c r="I48" i="4"/>
  <c r="H48" i="4"/>
  <c r="U49" i="4" l="1"/>
  <c r="I49" i="4"/>
  <c r="H49" i="4"/>
  <c r="U50" i="4" l="1"/>
  <c r="I50" i="4"/>
  <c r="H50" i="4"/>
  <c r="U51" i="4" l="1"/>
  <c r="I51" i="4"/>
  <c r="H51" i="4"/>
  <c r="U52" i="4" l="1"/>
  <c r="I52" i="4"/>
  <c r="H52" i="4"/>
  <c r="U53" i="4" l="1"/>
  <c r="I53" i="4"/>
  <c r="H53" i="4"/>
  <c r="U54" i="4" l="1"/>
  <c r="I54" i="4"/>
  <c r="H54" i="4"/>
  <c r="U55" i="4" l="1"/>
  <c r="I55" i="4"/>
  <c r="H55" i="4"/>
  <c r="U56" i="4" l="1"/>
  <c r="I56" i="4"/>
  <c r="H56" i="4"/>
  <c r="U57" i="4" l="1"/>
  <c r="I57" i="4"/>
  <c r="H57" i="4"/>
  <c r="U58" i="4" l="1"/>
  <c r="I58" i="4"/>
  <c r="H58" i="4"/>
  <c r="U59" i="4" l="1"/>
  <c r="I59" i="4"/>
  <c r="H59" i="4"/>
  <c r="U60" i="4" l="1"/>
  <c r="I60" i="4"/>
  <c r="H60" i="4"/>
  <c r="U61" i="4" l="1"/>
  <c r="I61" i="4"/>
  <c r="H61" i="4"/>
  <c r="U62" i="4" l="1"/>
  <c r="I63" i="4"/>
  <c r="I62" i="4"/>
  <c r="H62" i="4"/>
  <c r="U63" i="4" l="1"/>
  <c r="H63" i="4"/>
  <c r="U64" i="4" l="1"/>
  <c r="U65" i="4" l="1"/>
  <c r="U66" i="4" l="1"/>
  <c r="U67" i="4" l="1"/>
  <c r="U68" i="4" l="1"/>
  <c r="U69" i="4" l="1"/>
  <c r="U70" i="4" l="1"/>
  <c r="U71" i="4" l="1"/>
  <c r="U72" i="4" l="1"/>
  <c r="U73" i="4" l="1"/>
  <c r="U74" i="4" l="1"/>
  <c r="U75" i="4" l="1"/>
  <c r="U76" i="4" l="1"/>
  <c r="U77" i="4" l="1"/>
  <c r="U78" i="4" l="1"/>
  <c r="U79" i="4" l="1"/>
  <c r="U80" i="4" l="1"/>
  <c r="U81" i="4" l="1"/>
  <c r="U82" i="4" l="1"/>
  <c r="U83" i="4" l="1"/>
  <c r="U84" i="4" l="1"/>
  <c r="U85" i="4" l="1"/>
  <c r="U86" i="4" l="1"/>
  <c r="U87" i="4" l="1"/>
  <c r="U88" i="4" l="1"/>
  <c r="U89" i="4" l="1"/>
  <c r="U90" i="4" l="1"/>
  <c r="U91" i="4" l="1"/>
  <c r="U92" i="4" l="1"/>
  <c r="U93" i="4" l="1"/>
  <c r="U94" i="4" l="1"/>
  <c r="U95" i="4" l="1"/>
  <c r="U96" i="4" l="1"/>
  <c r="U97" i="4" l="1"/>
  <c r="U98" i="4" l="1"/>
  <c r="U99" i="4" l="1"/>
  <c r="U100" i="4" l="1"/>
  <c r="U101" i="4" l="1"/>
  <c r="U102" i="4" l="1"/>
  <c r="U103" i="4" l="1"/>
  <c r="U104" i="4" l="1"/>
  <c r="U105" i="4" l="1"/>
  <c r="U106" i="4" l="1"/>
  <c r="U107" i="4" l="1"/>
  <c r="U108" i="4" l="1"/>
  <c r="U109" i="4" l="1"/>
  <c r="U110" i="4" l="1"/>
  <c r="U111" i="4" l="1"/>
  <c r="U112" i="4" l="1"/>
  <c r="U113" i="4" l="1"/>
  <c r="U114" i="4" l="1"/>
  <c r="U115" i="4" l="1"/>
  <c r="U116" i="4" l="1"/>
  <c r="U117" i="4" l="1"/>
  <c r="U118" i="4" l="1"/>
  <c r="U119" i="4" l="1"/>
  <c r="U120" i="4" l="1"/>
  <c r="U121" i="4" l="1"/>
  <c r="U122" i="4" l="1"/>
  <c r="U123" i="4" l="1"/>
  <c r="U124" i="4" l="1"/>
  <c r="U125" i="4" l="1"/>
  <c r="U126" i="4" l="1"/>
  <c r="U127" i="4" l="1"/>
  <c r="U128" i="4" l="1"/>
  <c r="U129" i="4" l="1"/>
  <c r="U130" i="4" l="1"/>
  <c r="U131" i="4" l="1"/>
  <c r="U132" i="4" l="1"/>
  <c r="U133" i="4" l="1"/>
  <c r="U134" i="4" l="1"/>
  <c r="U135" i="4" l="1"/>
  <c r="U136" i="4" l="1"/>
  <c r="U137" i="4" l="1"/>
  <c r="U138" i="4" l="1"/>
  <c r="U139" i="4" l="1"/>
  <c r="U140" i="4" l="1"/>
  <c r="U141" i="4" l="1"/>
  <c r="U142" i="4" l="1"/>
  <c r="U143" i="4" l="1"/>
  <c r="U144" i="4" l="1"/>
  <c r="U145" i="4" l="1"/>
  <c r="U146" i="4" l="1"/>
  <c r="U147" i="4" l="1"/>
  <c r="U148" i="4" l="1"/>
  <c r="U149" i="4" l="1"/>
  <c r="U150" i="4" l="1"/>
  <c r="U151" i="4" l="1"/>
  <c r="U152" i="4" l="1"/>
  <c r="U153" i="4" l="1"/>
  <c r="U154" i="4" l="1"/>
  <c r="U155" i="4" l="1"/>
  <c r="U156" i="4" l="1"/>
  <c r="U157" i="4" l="1"/>
  <c r="U158" i="4" l="1"/>
  <c r="U159" i="4" l="1"/>
  <c r="E2" i="2"/>
  <c r="E3" i="2" l="1"/>
  <c r="H23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<sst xmlns="http://schemas.openxmlformats.org/spreadsheetml/2006/main" count="258" uniqueCount="166">
  <si>
    <t>Арстотцка</t>
  </si>
  <si>
    <t>Колечия</t>
  </si>
  <si>
    <t>Орбистан</t>
  </si>
  <si>
    <t>Скоатия</t>
  </si>
  <si>
    <t>Импор</t>
  </si>
  <si>
    <t>Антегрия</t>
  </si>
  <si>
    <t>Республия</t>
  </si>
  <si>
    <t>Объединенная Федерация</t>
  </si>
  <si>
    <t>Семистан</t>
  </si>
  <si>
    <t>Страна</t>
  </si>
  <si>
    <t>Флот</t>
  </si>
  <si>
    <t>Авиация</t>
  </si>
  <si>
    <t>Фабрики</t>
  </si>
  <si>
    <t>Заводы</t>
  </si>
  <si>
    <t>Верфи</t>
  </si>
  <si>
    <t>-</t>
  </si>
  <si>
    <t>Тэг</t>
  </si>
  <si>
    <t>ANT</t>
  </si>
  <si>
    <t>ARS</t>
  </si>
  <si>
    <t>IMP</t>
  </si>
  <si>
    <t>KOL</t>
  </si>
  <si>
    <t>UNF</t>
  </si>
  <si>
    <t>OBR</t>
  </si>
  <si>
    <t>REP</t>
  </si>
  <si>
    <t>SEM</t>
  </si>
  <si>
    <t>SKO</t>
  </si>
  <si>
    <t>Сталь</t>
  </si>
  <si>
    <t>Хром</t>
  </si>
  <si>
    <t>Вольфрам</t>
  </si>
  <si>
    <t>Нефть</t>
  </si>
  <si>
    <t>Алюминий</t>
  </si>
  <si>
    <t>Резина</t>
  </si>
  <si>
    <t>ИТОГО ФАБРИКИ</t>
  </si>
  <si>
    <t>Пеха</t>
  </si>
  <si>
    <t>Арта</t>
  </si>
  <si>
    <t>Моторка</t>
  </si>
  <si>
    <t>ВСЕГО</t>
  </si>
  <si>
    <t>ПОЛИТИКА</t>
  </si>
  <si>
    <t>РЕСУРСЫ</t>
  </si>
  <si>
    <t>АРМИЯ</t>
  </si>
  <si>
    <t>Правительство</t>
  </si>
  <si>
    <t>ОСТАТОК</t>
  </si>
  <si>
    <t>ЗДАНИЯ</t>
  </si>
  <si>
    <t>Население</t>
  </si>
  <si>
    <t>Продукты</t>
  </si>
  <si>
    <t>Производство, тонн в год</t>
  </si>
  <si>
    <t>Необходимо в год, тонн</t>
  </si>
  <si>
    <t>Агрокомплекс</t>
  </si>
  <si>
    <t>Производство, тонн в месяц</t>
  </si>
  <si>
    <t>Необходимо в месяц, тонн</t>
  </si>
  <si>
    <t>ТЕКУЩЕЕ КОЛИЧЕСТВО</t>
  </si>
  <si>
    <t>МЕСЯЦ</t>
  </si>
  <si>
    <t>ПОКАЗАТЕЛЬ</t>
  </si>
  <si>
    <t>НЕУРОЖАЙ</t>
  </si>
  <si>
    <t>РЕКОРД</t>
  </si>
  <si>
    <t>НЕУРОЖАЙ ИЛИ РЕКОРД</t>
  </si>
  <si>
    <t>ЧЬЯ ПРОВЕРКА</t>
  </si>
  <si>
    <t>Элеватор</t>
  </si>
  <si>
    <t>На сколько хватит</t>
  </si>
  <si>
    <t>Элеваторы</t>
  </si>
  <si>
    <t>Базовый % сохранения провианта</t>
  </si>
  <si>
    <t>Стартовые запасы</t>
  </si>
  <si>
    <t>ГЭС</t>
  </si>
  <si>
    <t>АЭС</t>
  </si>
  <si>
    <t>Потребители энергии</t>
  </si>
  <si>
    <t>Производители энергии</t>
  </si>
  <si>
    <t>Фабрика</t>
  </si>
  <si>
    <t>Завод</t>
  </si>
  <si>
    <t>Верфь</t>
  </si>
  <si>
    <t>ТЭС</t>
  </si>
  <si>
    <t>МВт</t>
  </si>
  <si>
    <t>Инфра</t>
  </si>
  <si>
    <t>Узлы</t>
  </si>
  <si>
    <t>Аэродром</t>
  </si>
  <si>
    <t>Морбаза</t>
  </si>
  <si>
    <t>ПВО</t>
  </si>
  <si>
    <t>НПЗ</t>
  </si>
  <si>
    <t>Хранилище</t>
  </si>
  <si>
    <t>Радар</t>
  </si>
  <si>
    <t>Ракеты</t>
  </si>
  <si>
    <t>Ядерный реактор</t>
  </si>
  <si>
    <t>Бункер/Мор</t>
  </si>
  <si>
    <t>Баланс, МВт в месяц</t>
  </si>
  <si>
    <t>Производство, МВт в месяц</t>
  </si>
  <si>
    <t>Необходимо в месяц, МВт</t>
  </si>
  <si>
    <t>скорость стройки</t>
  </si>
  <si>
    <t>скорость исследований</t>
  </si>
  <si>
    <t>кодирование/дешифрование</t>
  </si>
  <si>
    <t>fuel_gain_factor</t>
  </si>
  <si>
    <t>Животноводческий комплекс</t>
  </si>
  <si>
    <t>Энергия</t>
  </si>
  <si>
    <t>Баланс энергии</t>
  </si>
  <si>
    <t>Баланс продуктов</t>
  </si>
  <si>
    <t>Обеспеченность, %</t>
  </si>
  <si>
    <t>производительность завода/верфи</t>
  </si>
  <si>
    <t>еженедельный прирост провизии</t>
  </si>
  <si>
    <t>Неделя</t>
  </si>
  <si>
    <t>Год</t>
  </si>
  <si>
    <t>Месяц</t>
  </si>
  <si>
    <t>Дебаф от электроэнергии</t>
  </si>
  <si>
    <t>Старое</t>
  </si>
  <si>
    <t>Новое</t>
  </si>
  <si>
    <t>Железо</t>
  </si>
  <si>
    <t>Сталеплавильни</t>
  </si>
  <si>
    <t>Число итераций</t>
  </si>
  <si>
    <t>скорость плана</t>
  </si>
  <si>
    <t>координация</t>
  </si>
  <si>
    <t>база</t>
  </si>
  <si>
    <t>mobilization_speed</t>
  </si>
  <si>
    <t>local_resources_factor</t>
  </si>
  <si>
    <t>Армия</t>
  </si>
  <si>
    <t>Провизия</t>
  </si>
  <si>
    <t>Исследования</t>
  </si>
  <si>
    <t>Строительство</t>
  </si>
  <si>
    <t>Переработка нефти</t>
  </si>
  <si>
    <t>Добыча ресурсов</t>
  </si>
  <si>
    <t>Приоритет</t>
  </si>
  <si>
    <t>МЕНЯТЬ ЦИФРЫ МОЖНО ТОЛЬКО НА СИНЕМ (ЭТОМ) ФОНЕ!</t>
  </si>
  <si>
    <t>УРОВЕНЬ ВЗАИМОДЕЙСТВИЯ С ПРЕДПРИЯТИЯМИ</t>
  </si>
  <si>
    <t>ЗАИНТЕРЕСОВАННОСТЬ В ЭКОНОМИЧЕСКОМ РАЗВИТИИ</t>
  </si>
  <si>
    <t>ЗАКОН О ТРУДЕ</t>
  </si>
  <si>
    <t>ТЕКУЩИЙ МЕНПАВЕР</t>
  </si>
  <si>
    <t>%</t>
  </si>
  <si>
    <t>ИТОГО ЧЕЛОВЕК</t>
  </si>
  <si>
    <t>Число фабрик</t>
  </si>
  <si>
    <t>ПРОМЫШЛЕННЫЙ ПРОЛЕТАРИАТ</t>
  </si>
  <si>
    <t>&lt;-- Основная формула для первичного теста</t>
  </si>
  <si>
    <t>&lt;-- Более сложная формула, чуть больше учитывающая влияние % армейского менпавера</t>
  </si>
  <si>
    <t>Пром менпавера в сумме тут выходит больше, но влияние менпавера ощущается сильнее (больше работяг, при отсутствии армии и меньше, при больших % менпавера)</t>
  </si>
  <si>
    <t>По тестам можно юзать ее, но с некоторым понижающим коэффициентом</t>
  </si>
  <si>
    <t>НАСЕЛЕНИЕ СТРАНЫ</t>
  </si>
  <si>
    <t>ОБЩЕЕ</t>
  </si>
  <si>
    <t>МЕНПАВЕР</t>
  </si>
  <si>
    <t>ПРОМЫШЛЕННЫЙ</t>
  </si>
  <si>
    <t>СВОБОДНЫЙ</t>
  </si>
  <si>
    <t>ПРОМЫШЛЕННОСТЬ</t>
  </si>
  <si>
    <t>ПОТРЕБНОСТЬ В ПРОМ МЕНПАВЕРЕ</t>
  </si>
  <si>
    <t>на единицу</t>
  </si>
  <si>
    <t>суммарно</t>
  </si>
  <si>
    <t>ИТОГО</t>
  </si>
  <si>
    <t>% ОБЕСПЕЧЕННОСТИ</t>
  </si>
  <si>
    <t>ФАБРИКИ</t>
  </si>
  <si>
    <t>ВОЕННЫЕ ЗАВОДЫ</t>
  </si>
  <si>
    <t>ВЕРФИ</t>
  </si>
  <si>
    <t>Если этот параметр ниже 100%, то тебе летят дебафы на промку</t>
  </si>
  <si>
    <t>ТНП</t>
  </si>
  <si>
    <t>&lt;-- Это здесь для красоты</t>
  </si>
  <si>
    <t>Фабрик после вычета ТНП</t>
  </si>
  <si>
    <t>БЕЗРАБОТИЦА</t>
  </si>
  <si>
    <t>СТАБА</t>
  </si>
  <si>
    <t>ЧИСЛО СОСЕДЕЙ - ЦЕЛЕЙ МИГРАЦИИ</t>
  </si>
  <si>
    <t>Сооружения</t>
  </si>
  <si>
    <t>Люди</t>
  </si>
  <si>
    <t>Сталеплавильня</t>
  </si>
  <si>
    <t>Баланс работников</t>
  </si>
  <si>
    <t>Инфра/Соц</t>
  </si>
  <si>
    <t>Тик в день</t>
  </si>
  <si>
    <t>Текущий %</t>
  </si>
  <si>
    <t>Скорость мобилизац %</t>
  </si>
  <si>
    <t>Прирост пролетариата, дн</t>
  </si>
  <si>
    <t>Прошлый %</t>
  </si>
  <si>
    <t>НАСЕЛЕНИЕ</t>
  </si>
  <si>
    <t>ЮЗАЕМ</t>
  </si>
  <si>
    <t>ЦЕЛЕВОЕ</t>
  </si>
  <si>
    <t>ТЕКУЩЕЕ</t>
  </si>
  <si>
    <t>Необходимо в месяц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</si>
</sst>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3" formatCode="_-* #,##0.00_-;\-* #,##0.00_-;_-* &quot;-&quot;??_-;_-@_-"/>
    <numFmt numFmtId="164" formatCode="_-* #,##0_-;\-* #,##0_-;_-* &quot;-&quot;??_-;_-@_-"/>
    <numFmt numFmtId="165" formatCode="0.0"/>
    <numFmt numFmtId="166" formatCode="0.0%"/>
    <numFmt numFmtId="167" formatCode="0.000"/>
    <numFmt numFmtId="168" formatCode="_-* #,##0\ _₽_-;\-* #,##0\ _₽_-;_-* &quot;-&quot;???\ _₽_-;_-@_-"/>
    <numFmt numFmtId="169" formatCode="_-* #,##0.000_-;\-* #,##0.000_-;_-* &quot;-&quot;??_-;_-@_-"/>
    <numFmt numFmtId="170" formatCode="_-* #,##0.0000_-;\-* #,##0.0000_-;_-* &quot;-&quot;??_-;_-@_-"/>
    <numFmt numFmtId="171" formatCode="0_ ;\-0\ "/>
    <numFmt numFmtId="172" formatCode="_-* #,##0.0000\ _₽_-;\-* #,##0.0000\ _₽_-;_-* &quot;-&quot;????\ _₽_-;_-@_-"/>
    <numFmt numFmtId="173" formatCode="#,##0_ ;\-#,##0\ "/>
    <numFmt numFmtId="174" formatCode="#,##0.0"/>
    <numFmt numFmtId="175" formatCode="#,##0.00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name val="Calibri"/>
      <family val="2"/>
      <scheme val="minor"/>
    </font>
    <font>
      <b/>
      <sz val="11"/>
      <color rgb="FF000000"/>
      <name val="Calibri"/>
      <family val="2"/>
      <charset val="204"/>
    </font>
    <font>
      <sz val="11"/>
      <color theme="1"/>
      <name val="Calibri"/>
      <family val="2"/>
    </font>
    <font>
      <b/>
      <sz val="12"/>
      <color rgb="FF000000"/>
      <name val="Calibri"/>
      <family val="2"/>
      <charset val="204"/>
    </font>
    <font>
      <sz val="12"/>
      <color rgb="FF000000"/>
      <name val="Calibri"/>
      <family val="2"/>
      <charset val="204"/>
    </font>
    <font>
      <sz val="9"/>
      <color rgb="FF000000"/>
      <name val="Calibri"/>
      <family val="2"/>
      <charset val="204"/>
    </font>
  </fonts>
  <fills count="1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BC2E6"/>
        <bgColor rgb="FF000000"/>
      </patternFill>
    </fill>
    <fill>
      <patternFill patternType="solid">
        <fgColor rgb="FFAEAAAA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FFD966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8CBAD"/>
        <bgColor rgb="FF000000"/>
      </patternFill>
    </fill>
    <fill>
      <patternFill patternType="solid">
        <fgColor rgb="FFF4B084"/>
        <bgColor rgb="FF000000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</cellStyleXfs>
  <cellXfs count="298">
    <xf numFmtId="0" fontId="0" fillId="0" borderId="0" xfId="0"/>
    <xf numFmtId="0" fontId="2" fillId="0" borderId="0" xfId="0" applyFont="1" applyFill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/>
    <xf numFmtId="0" fontId="0" fillId="2" borderId="1" xfId="0" applyFill="1" applyBorder="1" applyAlignment="1">
      <alignment horizontal="center" vertical="center"/>
    </xf>
    <xf numFmtId="0" fontId="0" fillId="2" borderId="0" xfId="0" applyFill="1"/>
    <xf numFmtId="0" fontId="0" fillId="2" borderId="4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0" fillId="2" borderId="23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0" fillId="3" borderId="26" xfId="0" applyFill="1" applyBorder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0" fontId="0" fillId="3" borderId="28" xfId="0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9" fontId="0" fillId="2" borderId="11" xfId="1" applyFont="1" applyFill="1" applyBorder="1" applyAlignment="1">
      <alignment horizontal="center" vertical="center"/>
    </xf>
    <xf numFmtId="9" fontId="0" fillId="3" borderId="26" xfId="1" applyFont="1" applyFill="1" applyBorder="1" applyAlignment="1">
      <alignment horizontal="center" vertical="center"/>
    </xf>
    <xf numFmtId="9" fontId="0" fillId="0" borderId="1" xfId="1" applyFont="1" applyFill="1" applyBorder="1" applyAlignment="1">
      <alignment horizontal="center" vertical="center"/>
    </xf>
    <xf numFmtId="9" fontId="0" fillId="2" borderId="1" xfId="1" applyFont="1" applyFill="1" applyBorder="1" applyAlignment="1">
      <alignment horizontal="center" vertical="center"/>
    </xf>
    <xf numFmtId="9" fontId="0" fillId="2" borderId="8" xfId="1" applyFont="1" applyFill="1" applyBorder="1" applyAlignment="1">
      <alignment horizontal="center" vertical="center"/>
    </xf>
    <xf numFmtId="9" fontId="0" fillId="2" borderId="22" xfId="1" applyFont="1" applyFill="1" applyBorder="1" applyAlignment="1">
      <alignment horizontal="center" vertical="center"/>
    </xf>
    <xf numFmtId="9" fontId="0" fillId="0" borderId="4" xfId="1" applyFont="1" applyFill="1" applyBorder="1" applyAlignment="1">
      <alignment horizontal="center" vertical="center"/>
    </xf>
    <xf numFmtId="9" fontId="0" fillId="2" borderId="4" xfId="1" applyFont="1" applyFill="1" applyBorder="1" applyAlignment="1">
      <alignment horizontal="center" vertical="center"/>
    </xf>
    <xf numFmtId="9" fontId="0" fillId="2" borderId="23" xfId="1" applyFont="1" applyFill="1" applyBorder="1" applyAlignment="1">
      <alignment horizontal="center" vertical="center"/>
    </xf>
    <xf numFmtId="0" fontId="0" fillId="2" borderId="10" xfId="0" applyFill="1" applyBorder="1" applyAlignment="1">
      <alignment horizontal="left" vertical="center" wrapText="1"/>
    </xf>
    <xf numFmtId="0" fontId="0" fillId="0" borderId="5" xfId="0" applyFill="1" applyBorder="1" applyAlignment="1">
      <alignment horizontal="left" vertical="center" wrapText="1"/>
    </xf>
    <xf numFmtId="0" fontId="0" fillId="2" borderId="5" xfId="0" applyFill="1" applyBorder="1" applyAlignment="1">
      <alignment horizontal="left" vertical="center" wrapText="1"/>
    </xf>
    <xf numFmtId="0" fontId="0" fillId="2" borderId="7" xfId="0" applyFill="1" applyBorder="1" applyAlignment="1">
      <alignment horizontal="left" vertical="center" wrapText="1"/>
    </xf>
    <xf numFmtId="164" fontId="0" fillId="0" borderId="0" xfId="2" applyNumberFormat="1" applyFont="1" applyAlignment="1">
      <alignment horizontal="center" vertical="center"/>
    </xf>
    <xf numFmtId="164" fontId="0" fillId="0" borderId="0" xfId="0" applyNumberFormat="1"/>
    <xf numFmtId="164" fontId="0" fillId="2" borderId="27" xfId="2" applyNumberFormat="1" applyFont="1" applyFill="1" applyBorder="1" applyAlignment="1">
      <alignment horizontal="center" vertical="center"/>
    </xf>
    <xf numFmtId="164" fontId="0" fillId="0" borderId="1" xfId="2" applyNumberFormat="1" applyFont="1" applyBorder="1" applyAlignment="1">
      <alignment horizontal="center" vertical="center"/>
    </xf>
    <xf numFmtId="164" fontId="0" fillId="0" borderId="27" xfId="2" applyNumberFormat="1" applyFont="1" applyFill="1" applyBorder="1" applyAlignment="1">
      <alignment horizontal="center" vertical="center"/>
    </xf>
    <xf numFmtId="164" fontId="0" fillId="2" borderId="28" xfId="2" applyNumberFormat="1" applyFont="1" applyFill="1" applyBorder="1" applyAlignment="1">
      <alignment horizontal="center" vertical="center"/>
    </xf>
    <xf numFmtId="164" fontId="0" fillId="0" borderId="0" xfId="2" applyNumberFormat="1" applyFont="1"/>
    <xf numFmtId="49" fontId="0" fillId="0" borderId="0" xfId="2" applyNumberFormat="1" applyFont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164" fontId="0" fillId="2" borderId="33" xfId="2" applyNumberFormat="1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6" fontId="0" fillId="0" borderId="0" xfId="1" applyNumberFormat="1" applyFont="1" applyAlignment="1">
      <alignment horizontal="center" vertical="center"/>
    </xf>
    <xf numFmtId="165" fontId="0" fillId="0" borderId="0" xfId="0" applyNumberFormat="1" applyAlignment="1">
      <alignment horizontal="right" vertical="center"/>
    </xf>
    <xf numFmtId="0" fontId="1" fillId="0" borderId="19" xfId="0" applyFont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 wrapText="1"/>
    </xf>
    <xf numFmtId="0" fontId="0" fillId="0" borderId="27" xfId="0" applyFill="1" applyBorder="1" applyAlignment="1">
      <alignment horizontal="left" vertical="center" wrapText="1"/>
    </xf>
    <xf numFmtId="0" fontId="0" fillId="2" borderId="27" xfId="0" applyFill="1" applyBorder="1" applyAlignment="1">
      <alignment horizontal="left" vertical="center" wrapText="1"/>
    </xf>
    <xf numFmtId="0" fontId="0" fillId="2" borderId="28" xfId="0" applyFill="1" applyBorder="1" applyAlignment="1">
      <alignment horizontal="left" vertical="center" wrapText="1"/>
    </xf>
    <xf numFmtId="0" fontId="0" fillId="2" borderId="33" xfId="0" applyFill="1" applyBorder="1" applyAlignment="1">
      <alignment horizontal="left" vertical="center" wrapText="1"/>
    </xf>
    <xf numFmtId="0" fontId="0" fillId="2" borderId="33" xfId="0" applyFill="1" applyBorder="1" applyAlignment="1">
      <alignment horizontal="center" vertical="center"/>
    </xf>
    <xf numFmtId="0" fontId="0" fillId="0" borderId="26" xfId="0" applyFill="1" applyBorder="1" applyAlignment="1">
      <alignment horizontal="center" vertical="center"/>
    </xf>
    <xf numFmtId="0" fontId="0" fillId="2" borderId="26" xfId="0" applyFill="1" applyBorder="1" applyAlignment="1">
      <alignment horizontal="center" vertical="center"/>
    </xf>
    <xf numFmtId="0" fontId="0" fillId="2" borderId="21" xfId="0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 wrapText="1"/>
    </xf>
    <xf numFmtId="0" fontId="2" fillId="0" borderId="19" xfId="0" applyFont="1" applyFill="1" applyBorder="1" applyAlignment="1">
      <alignment horizontal="center" vertical="center" wrapText="1"/>
    </xf>
    <xf numFmtId="165" fontId="0" fillId="0" borderId="0" xfId="1" applyNumberFormat="1" applyFont="1" applyAlignment="1">
      <alignment horizontal="center" vertical="center"/>
    </xf>
    <xf numFmtId="164" fontId="0" fillId="0" borderId="35" xfId="2" applyNumberFormat="1" applyFont="1" applyFill="1" applyBorder="1" applyAlignment="1">
      <alignment horizontal="center" vertical="center"/>
    </xf>
    <xf numFmtId="164" fontId="0" fillId="2" borderId="35" xfId="2" applyNumberFormat="1" applyFont="1" applyFill="1" applyBorder="1" applyAlignment="1">
      <alignment horizontal="center" vertical="center"/>
    </xf>
    <xf numFmtId="164" fontId="0" fillId="2" borderId="36" xfId="2" applyNumberFormat="1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 wrapText="1"/>
    </xf>
    <xf numFmtId="0" fontId="0" fillId="4" borderId="1" xfId="0" applyFill="1" applyBorder="1"/>
    <xf numFmtId="164" fontId="0" fillId="4" borderId="1" xfId="2" applyNumberFormat="1" applyFont="1" applyFill="1" applyBorder="1" applyAlignment="1">
      <alignment horizontal="center" vertical="center"/>
    </xf>
    <xf numFmtId="164" fontId="0" fillId="2" borderId="1" xfId="2" applyNumberFormat="1" applyFont="1" applyFill="1" applyBorder="1" applyAlignment="1">
      <alignment horizontal="center" vertical="center"/>
    </xf>
    <xf numFmtId="164" fontId="0" fillId="0" borderId="1" xfId="2" applyNumberFormat="1" applyFont="1" applyFill="1" applyBorder="1" applyAlignment="1">
      <alignment horizontal="center" vertical="center"/>
    </xf>
    <xf numFmtId="164" fontId="0" fillId="0" borderId="5" xfId="2" applyNumberFormat="1" applyFont="1" applyFill="1" applyBorder="1" applyAlignment="1">
      <alignment horizontal="center" vertical="center"/>
    </xf>
    <xf numFmtId="164" fontId="0" fillId="2" borderId="6" xfId="2" applyNumberFormat="1" applyFont="1" applyFill="1" applyBorder="1" applyAlignment="1">
      <alignment horizontal="center" vertical="center"/>
    </xf>
    <xf numFmtId="164" fontId="0" fillId="2" borderId="5" xfId="2" applyNumberFormat="1" applyFont="1" applyFill="1" applyBorder="1" applyAlignment="1">
      <alignment horizontal="center" vertical="center"/>
    </xf>
    <xf numFmtId="164" fontId="0" fillId="2" borderId="7" xfId="2" applyNumberFormat="1" applyFont="1" applyFill="1" applyBorder="1" applyAlignment="1">
      <alignment horizontal="center" vertical="center"/>
    </xf>
    <xf numFmtId="164" fontId="0" fillId="2" borderId="9" xfId="2" applyNumberFormat="1" applyFont="1" applyFill="1" applyBorder="1" applyAlignment="1">
      <alignment horizontal="center" vertical="center"/>
    </xf>
    <xf numFmtId="164" fontId="0" fillId="0" borderId="6" xfId="2" applyNumberFormat="1" applyFont="1" applyFill="1" applyBorder="1" applyAlignment="1">
      <alignment horizontal="center" vertical="center"/>
    </xf>
    <xf numFmtId="164" fontId="0" fillId="2" borderId="8" xfId="2" applyNumberFormat="1" applyFont="1" applyFill="1" applyBorder="1" applyAlignment="1">
      <alignment horizontal="center" vertical="center"/>
    </xf>
    <xf numFmtId="0" fontId="0" fillId="2" borderId="34" xfId="0" applyFill="1" applyBorder="1" applyAlignment="1">
      <alignment horizontal="left" vertical="center" wrapText="1"/>
    </xf>
    <xf numFmtId="0" fontId="0" fillId="0" borderId="35" xfId="0" applyFill="1" applyBorder="1" applyAlignment="1">
      <alignment horizontal="left" vertical="center" wrapText="1"/>
    </xf>
    <xf numFmtId="0" fontId="0" fillId="2" borderId="35" xfId="0" applyFill="1" applyBorder="1" applyAlignment="1">
      <alignment horizontal="left" vertical="center" wrapText="1"/>
    </xf>
    <xf numFmtId="0" fontId="0" fillId="2" borderId="36" xfId="0" applyFill="1" applyBorder="1" applyAlignment="1">
      <alignment horizontal="left" vertical="center" wrapText="1"/>
    </xf>
    <xf numFmtId="0" fontId="0" fillId="2" borderId="38" xfId="0" applyFill="1" applyBorder="1" applyAlignment="1">
      <alignment horizontal="center" vertical="center"/>
    </xf>
    <xf numFmtId="0" fontId="0" fillId="2" borderId="39" xfId="0" applyFill="1" applyBorder="1" applyAlignment="1">
      <alignment horizontal="center" vertical="center"/>
    </xf>
    <xf numFmtId="164" fontId="0" fillId="2" borderId="41" xfId="2" applyNumberFormat="1" applyFont="1" applyFill="1" applyBorder="1" applyAlignment="1">
      <alignment horizontal="center" vertical="center"/>
    </xf>
    <xf numFmtId="164" fontId="0" fillId="0" borderId="4" xfId="2" applyNumberFormat="1" applyFont="1" applyFill="1" applyBorder="1" applyAlignment="1">
      <alignment horizontal="center" vertical="center"/>
    </xf>
    <xf numFmtId="164" fontId="0" fillId="2" borderId="4" xfId="2" applyNumberFormat="1" applyFont="1" applyFill="1" applyBorder="1" applyAlignment="1">
      <alignment horizontal="center" vertical="center"/>
    </xf>
    <xf numFmtId="164" fontId="0" fillId="2" borderId="23" xfId="2" applyNumberFormat="1" applyFont="1" applyFill="1" applyBorder="1" applyAlignment="1">
      <alignment horizontal="center" vertical="center"/>
    </xf>
    <xf numFmtId="166" fontId="0" fillId="0" borderId="0" xfId="1" applyNumberFormat="1" applyFont="1"/>
    <xf numFmtId="0" fontId="1" fillId="0" borderId="15" xfId="0" applyFont="1" applyBorder="1" applyAlignment="1">
      <alignment horizontal="center" vertical="center" wrapText="1"/>
    </xf>
    <xf numFmtId="0" fontId="1" fillId="0" borderId="19" xfId="0" applyFont="1" applyBorder="1" applyAlignment="1">
      <alignment horizontal="center" vertical="center" wrapText="1"/>
    </xf>
    <xf numFmtId="164" fontId="0" fillId="0" borderId="0" xfId="2" applyNumberFormat="1" applyFont="1" applyFill="1" applyBorder="1" applyAlignment="1">
      <alignment horizontal="center" vertical="center"/>
    </xf>
    <xf numFmtId="164" fontId="0" fillId="2" borderId="43" xfId="2" applyNumberFormat="1" applyFont="1" applyFill="1" applyBorder="1" applyAlignment="1">
      <alignment horizontal="center" vertical="center"/>
    </xf>
    <xf numFmtId="164" fontId="0" fillId="0" borderId="44" xfId="2" applyNumberFormat="1" applyFont="1" applyFill="1" applyBorder="1" applyAlignment="1">
      <alignment horizontal="center" vertical="center"/>
    </xf>
    <xf numFmtId="164" fontId="0" fillId="2" borderId="44" xfId="2" applyNumberFormat="1" applyFont="1" applyFill="1" applyBorder="1" applyAlignment="1">
      <alignment horizontal="center" vertical="center"/>
    </xf>
    <xf numFmtId="164" fontId="0" fillId="2" borderId="45" xfId="2" applyNumberFormat="1" applyFont="1" applyFill="1" applyBorder="1" applyAlignment="1">
      <alignment horizontal="center" vertical="center"/>
    </xf>
    <xf numFmtId="0" fontId="1" fillId="0" borderId="42" xfId="0" applyFont="1" applyBorder="1" applyAlignment="1">
      <alignment horizontal="center" vertical="center" wrapText="1"/>
    </xf>
    <xf numFmtId="164" fontId="0" fillId="0" borderId="0" xfId="0" applyNumberFormat="1" applyAlignment="1">
      <alignment horizontal="left" vertical="center"/>
    </xf>
    <xf numFmtId="164" fontId="0" fillId="3" borderId="0" xfId="0" applyNumberFormat="1" applyFill="1" applyAlignment="1">
      <alignment horizontal="right" vertical="center"/>
    </xf>
    <xf numFmtId="0" fontId="0" fillId="3" borderId="46" xfId="0" applyFill="1" applyBorder="1" applyAlignment="1">
      <alignment horizontal="center" vertical="center"/>
    </xf>
    <xf numFmtId="0" fontId="0" fillId="3" borderId="35" xfId="0" applyFill="1" applyBorder="1" applyAlignment="1">
      <alignment horizontal="center" vertical="center"/>
    </xf>
    <xf numFmtId="0" fontId="0" fillId="3" borderId="36" xfId="0" applyFill="1" applyBorder="1" applyAlignment="1">
      <alignment horizontal="center" vertical="center"/>
    </xf>
    <xf numFmtId="0" fontId="0" fillId="2" borderId="40" xfId="0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 wrapText="1"/>
    </xf>
    <xf numFmtId="0" fontId="2" fillId="0" borderId="31" xfId="0" applyFont="1" applyFill="1" applyBorder="1" applyAlignment="1">
      <alignment horizontal="center" vertical="center"/>
    </xf>
    <xf numFmtId="164" fontId="0" fillId="2" borderId="38" xfId="2" applyNumberFormat="1" applyFont="1" applyFill="1" applyBorder="1" applyAlignment="1">
      <alignment horizontal="center" vertical="center"/>
    </xf>
    <xf numFmtId="164" fontId="0" fillId="2" borderId="40" xfId="2" applyNumberFormat="1" applyFont="1" applyFill="1" applyBorder="1" applyAlignment="1">
      <alignment horizontal="center" vertical="center"/>
    </xf>
    <xf numFmtId="0" fontId="0" fillId="2" borderId="41" xfId="0" applyFill="1" applyBorder="1" applyAlignment="1">
      <alignment horizontal="center" vertical="center"/>
    </xf>
    <xf numFmtId="0" fontId="4" fillId="0" borderId="20" xfId="0" applyFont="1" applyFill="1" applyBorder="1" applyAlignment="1">
      <alignment horizontal="center" vertical="center" wrapText="1"/>
    </xf>
    <xf numFmtId="164" fontId="0" fillId="2" borderId="12" xfId="2" applyNumberFormat="1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 wrapText="1"/>
    </xf>
    <xf numFmtId="164" fontId="0" fillId="2" borderId="39" xfId="2" applyNumberFormat="1" applyFont="1" applyFill="1" applyBorder="1" applyAlignment="1">
      <alignment horizontal="center" vertical="center"/>
    </xf>
    <xf numFmtId="164" fontId="0" fillId="0" borderId="12" xfId="2" applyNumberFormat="1" applyFont="1" applyFill="1" applyBorder="1" applyAlignment="1">
      <alignment horizontal="center" vertical="center"/>
    </xf>
    <xf numFmtId="164" fontId="0" fillId="2" borderId="47" xfId="2" applyNumberFormat="1" applyFont="1" applyFill="1" applyBorder="1" applyAlignment="1">
      <alignment horizontal="center" vertical="center"/>
    </xf>
    <xf numFmtId="166" fontId="0" fillId="4" borderId="1" xfId="1" applyNumberFormat="1" applyFont="1" applyFill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6" fontId="0" fillId="2" borderId="40" xfId="1" applyNumberFormat="1" applyFont="1" applyFill="1" applyBorder="1" applyAlignment="1">
      <alignment horizontal="center" vertical="center"/>
    </xf>
    <xf numFmtId="166" fontId="0" fillId="0" borderId="6" xfId="1" applyNumberFormat="1" applyFont="1" applyFill="1" applyBorder="1" applyAlignment="1">
      <alignment horizontal="center" vertical="center"/>
    </xf>
    <xf numFmtId="166" fontId="0" fillId="2" borderId="6" xfId="1" applyNumberFormat="1" applyFont="1" applyFill="1" applyBorder="1" applyAlignment="1">
      <alignment horizontal="center" vertical="center"/>
    </xf>
    <xf numFmtId="166" fontId="0" fillId="2" borderId="9" xfId="1" applyNumberFormat="1" applyFont="1" applyFill="1" applyBorder="1" applyAlignment="1">
      <alignment horizontal="center" vertical="center"/>
    </xf>
    <xf numFmtId="167" fontId="0" fillId="0" borderId="0" xfId="0" applyNumberFormat="1"/>
    <xf numFmtId="168" fontId="0" fillId="0" borderId="0" xfId="0" applyNumberFormat="1"/>
    <xf numFmtId="0" fontId="2" fillId="0" borderId="31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69" fontId="0" fillId="0" borderId="0" xfId="2" applyNumberFormat="1" applyFont="1" applyAlignment="1">
      <alignment horizontal="center" vertical="center"/>
    </xf>
    <xf numFmtId="170" fontId="0" fillId="0" borderId="0" xfId="2" applyNumberFormat="1" applyFont="1" applyAlignment="1">
      <alignment horizontal="center" vertical="center"/>
    </xf>
    <xf numFmtId="164" fontId="0" fillId="0" borderId="48" xfId="2" applyNumberFormat="1" applyFont="1" applyBorder="1" applyAlignment="1">
      <alignment horizontal="center" vertical="center"/>
    </xf>
    <xf numFmtId="0" fontId="0" fillId="3" borderId="1" xfId="0" applyFill="1" applyBorder="1"/>
    <xf numFmtId="49" fontId="0" fillId="3" borderId="1" xfId="2" applyNumberFormat="1" applyFont="1" applyFill="1" applyBorder="1" applyAlignment="1">
      <alignment horizontal="center" vertical="center"/>
    </xf>
    <xf numFmtId="169" fontId="0" fillId="3" borderId="1" xfId="2" applyNumberFormat="1" applyFont="1" applyFill="1" applyBorder="1" applyAlignment="1">
      <alignment horizontal="center" vertical="center"/>
    </xf>
    <xf numFmtId="0" fontId="0" fillId="3" borderId="0" xfId="0" applyFill="1"/>
    <xf numFmtId="169" fontId="0" fillId="0" borderId="0" xfId="0" applyNumberFormat="1"/>
    <xf numFmtId="170" fontId="0" fillId="3" borderId="1" xfId="0" applyNumberFormat="1" applyFill="1" applyBorder="1"/>
    <xf numFmtId="170" fontId="0" fillId="3" borderId="0" xfId="0" applyNumberFormat="1" applyFill="1"/>
    <xf numFmtId="171" fontId="0" fillId="0" borderId="0" xfId="2" applyNumberFormat="1" applyFont="1" applyAlignment="1">
      <alignment horizontal="center" vertical="center"/>
    </xf>
    <xf numFmtId="170" fontId="0" fillId="0" borderId="0" xfId="0" applyNumberFormat="1"/>
    <xf numFmtId="164" fontId="0" fillId="3" borderId="0" xfId="2" applyNumberFormat="1" applyFont="1" applyFill="1"/>
    <xf numFmtId="172" fontId="0" fillId="0" borderId="0" xfId="0" applyNumberFormat="1"/>
    <xf numFmtId="171" fontId="6" fillId="0" borderId="0" xfId="2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5" borderId="0" xfId="0" applyFill="1"/>
    <xf numFmtId="166" fontId="0" fillId="5" borderId="0" xfId="0" applyNumberFormat="1" applyFill="1" applyAlignment="1">
      <alignment horizontal="center" vertical="center"/>
    </xf>
    <xf numFmtId="0" fontId="0" fillId="6" borderId="0" xfId="0" applyFill="1"/>
    <xf numFmtId="166" fontId="0" fillId="6" borderId="0" xfId="0" applyNumberFormat="1" applyFill="1" applyAlignment="1">
      <alignment horizontal="center" vertical="center"/>
    </xf>
    <xf numFmtId="0" fontId="0" fillId="7" borderId="0" xfId="0" applyFill="1"/>
    <xf numFmtId="166" fontId="0" fillId="7" borderId="0" xfId="0" applyNumberFormat="1" applyFill="1" applyAlignment="1">
      <alignment horizontal="center" vertical="center"/>
    </xf>
    <xf numFmtId="0" fontId="0" fillId="8" borderId="0" xfId="0" applyFill="1"/>
    <xf numFmtId="166" fontId="0" fillId="8" borderId="0" xfId="0" applyNumberFormat="1" applyFill="1" applyAlignment="1">
      <alignment horizontal="center" vertical="center"/>
    </xf>
    <xf numFmtId="0" fontId="0" fillId="9" borderId="0" xfId="0" applyFill="1"/>
    <xf numFmtId="166" fontId="0" fillId="9" borderId="0" xfId="0" applyNumberFormat="1" applyFill="1" applyAlignment="1">
      <alignment horizontal="center" vertical="center"/>
    </xf>
    <xf numFmtId="166" fontId="0" fillId="0" borderId="0" xfId="1" applyNumberFormat="1" applyFont="1" applyFill="1"/>
    <xf numFmtId="0" fontId="1" fillId="0" borderId="0" xfId="0" applyFont="1" applyFill="1"/>
    <xf numFmtId="0" fontId="1" fillId="0" borderId="0" xfId="0" applyFont="1"/>
    <xf numFmtId="166" fontId="1" fillId="0" borderId="0" xfId="1" applyNumberFormat="1" applyFont="1"/>
    <xf numFmtId="166" fontId="0" fillId="3" borderId="0" xfId="0" applyNumberFormat="1" applyFill="1" applyAlignment="1">
      <alignment horizontal="center" vertical="center"/>
    </xf>
    <xf numFmtId="166" fontId="0" fillId="0" borderId="0" xfId="0" applyNumberFormat="1"/>
    <xf numFmtId="166" fontId="0" fillId="3" borderId="0" xfId="1" applyNumberFormat="1" applyFont="1" applyFill="1"/>
    <xf numFmtId="9" fontId="0" fillId="0" borderId="0" xfId="1" applyFont="1"/>
    <xf numFmtId="9" fontId="0" fillId="0" borderId="0" xfId="0" applyNumberFormat="1"/>
    <xf numFmtId="0" fontId="1" fillId="0" borderId="19" xfId="0" applyFont="1" applyBorder="1" applyAlignment="1">
      <alignment horizontal="center" vertical="center" wrapText="1"/>
    </xf>
    <xf numFmtId="0" fontId="1" fillId="0" borderId="20" xfId="0" applyFont="1" applyBorder="1" applyAlignment="1">
      <alignment horizontal="center" vertical="center" wrapText="1"/>
    </xf>
    <xf numFmtId="0" fontId="2" fillId="0" borderId="17" xfId="0" applyFont="1" applyFill="1" applyBorder="1" applyAlignment="1">
      <alignment horizontal="center" vertical="center" wrapText="1"/>
    </xf>
    <xf numFmtId="0" fontId="2" fillId="0" borderId="19" xfId="0" applyFont="1" applyFill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7" fillId="10" borderId="20" xfId="0" applyFont="1" applyFill="1" applyBorder="1" applyAlignment="1">
      <alignment horizontal="left" vertical="center"/>
    </xf>
    <xf numFmtId="0" fontId="8" fillId="10" borderId="30" xfId="0" applyFont="1" applyFill="1" applyBorder="1" applyAlignment="1">
      <alignment horizontal="left" vertical="center"/>
    </xf>
    <xf numFmtId="0" fontId="8" fillId="10" borderId="31" xfId="0" applyFont="1" applyFill="1" applyBorder="1" applyAlignment="1">
      <alignment horizontal="left" vertical="center"/>
    </xf>
    <xf numFmtId="0" fontId="8" fillId="0" borderId="0" xfId="0" applyFont="1"/>
    <xf numFmtId="0" fontId="8" fillId="0" borderId="0" xfId="0" applyFont="1" applyAlignment="1">
      <alignment horizontal="center" vertical="center"/>
    </xf>
    <xf numFmtId="0" fontId="7" fillId="11" borderId="38" xfId="0" applyFont="1" applyFill="1" applyBorder="1" applyAlignment="1">
      <alignment horizontal="center" vertical="center" wrapText="1"/>
    </xf>
    <xf numFmtId="166" fontId="7" fillId="10" borderId="7" xfId="1" applyNumberFormat="1" applyFont="1" applyFill="1" applyBorder="1" applyAlignment="1">
      <alignment horizontal="center" vertical="center"/>
    </xf>
    <xf numFmtId="166" fontId="7" fillId="13" borderId="31" xfId="1" applyNumberFormat="1" applyFont="1" applyFill="1" applyBorder="1" applyAlignment="1">
      <alignment horizontal="center" vertical="center"/>
    </xf>
    <xf numFmtId="0" fontId="7" fillId="12" borderId="3" xfId="0" applyFont="1" applyFill="1" applyBorder="1" applyAlignment="1">
      <alignment horizontal="center" vertical="center" wrapText="1"/>
    </xf>
    <xf numFmtId="0" fontId="7" fillId="12" borderId="31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left" vertical="center"/>
    </xf>
    <xf numFmtId="166" fontId="7" fillId="10" borderId="21" xfId="1" applyNumberFormat="1" applyFont="1" applyFill="1" applyBorder="1" applyAlignment="1">
      <alignment horizontal="center" vertical="center" wrapText="1"/>
    </xf>
    <xf numFmtId="173" fontId="7" fillId="12" borderId="21" xfId="2" applyNumberFormat="1" applyFont="1" applyFill="1" applyBorder="1" applyAlignment="1">
      <alignment horizontal="center" vertical="center" wrapText="1"/>
    </xf>
    <xf numFmtId="166" fontId="8" fillId="0" borderId="0" xfId="1" applyNumberFormat="1" applyFont="1" applyFill="1" applyBorder="1" applyAlignment="1">
      <alignment horizontal="center" vertical="center"/>
    </xf>
    <xf numFmtId="0" fontId="7" fillId="14" borderId="3" xfId="0" applyFont="1" applyFill="1" applyBorder="1" applyAlignment="1">
      <alignment horizontal="center" vertical="center" wrapText="1"/>
    </xf>
    <xf numFmtId="0" fontId="7" fillId="14" borderId="31" xfId="0" applyFont="1" applyFill="1" applyBorder="1" applyAlignment="1">
      <alignment horizontal="center" vertical="center" wrapText="1"/>
    </xf>
    <xf numFmtId="166" fontId="7" fillId="14" borderId="3" xfId="0" applyNumberFormat="1" applyFont="1" applyFill="1" applyBorder="1" applyAlignment="1">
      <alignment horizontal="center" vertical="center"/>
    </xf>
    <xf numFmtId="3" fontId="7" fillId="14" borderId="31" xfId="0" applyNumberFormat="1" applyFont="1" applyFill="1" applyBorder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7" fillId="15" borderId="21" xfId="0" applyFont="1" applyFill="1" applyBorder="1" applyAlignment="1">
      <alignment horizontal="center" vertical="center"/>
    </xf>
    <xf numFmtId="3" fontId="7" fillId="10" borderId="21" xfId="0" applyNumberFormat="1" applyFont="1" applyFill="1" applyBorder="1" applyAlignment="1">
      <alignment horizontal="center" vertical="center"/>
    </xf>
    <xf numFmtId="166" fontId="7" fillId="15" borderId="21" xfId="1" applyNumberFormat="1" applyFont="1" applyFill="1" applyBorder="1" applyAlignment="1">
      <alignment horizontal="center" vertical="center" wrapText="1"/>
    </xf>
    <xf numFmtId="0" fontId="7" fillId="15" borderId="3" xfId="0" applyFont="1" applyFill="1" applyBorder="1" applyAlignment="1">
      <alignment horizontal="center" vertical="center"/>
    </xf>
    <xf numFmtId="3" fontId="7" fillId="15" borderId="21" xfId="0" applyNumberFormat="1" applyFont="1" applyFill="1" applyBorder="1" applyAlignment="1">
      <alignment horizontal="center" vertical="center"/>
    </xf>
    <xf numFmtId="0" fontId="7" fillId="16" borderId="3" xfId="0" applyFont="1" applyFill="1" applyBorder="1" applyAlignment="1">
      <alignment horizontal="center" vertical="center"/>
    </xf>
    <xf numFmtId="3" fontId="7" fillId="16" borderId="21" xfId="0" applyNumberFormat="1" applyFont="1" applyFill="1" applyBorder="1" applyAlignment="1">
      <alignment horizontal="center" vertical="center"/>
    </xf>
    <xf numFmtId="166" fontId="7" fillId="16" borderId="21" xfId="1" applyNumberFormat="1" applyFont="1" applyFill="1" applyBorder="1" applyAlignment="1">
      <alignment horizontal="center" vertical="center" wrapText="1"/>
    </xf>
    <xf numFmtId="0" fontId="9" fillId="13" borderId="3" xfId="0" applyFont="1" applyFill="1" applyBorder="1" applyAlignment="1">
      <alignment horizontal="center" vertical="center" wrapText="1"/>
    </xf>
    <xf numFmtId="0" fontId="9" fillId="13" borderId="31" xfId="0" applyFont="1" applyFill="1" applyBorder="1" applyAlignment="1">
      <alignment horizontal="center" vertical="center" wrapText="1"/>
    </xf>
    <xf numFmtId="0" fontId="8" fillId="13" borderId="21" xfId="0" applyFont="1" applyFill="1" applyBorder="1" applyAlignment="1">
      <alignment horizontal="center" vertical="center"/>
    </xf>
    <xf numFmtId="0" fontId="7" fillId="10" borderId="3" xfId="0" applyFont="1" applyFill="1" applyBorder="1" applyAlignment="1">
      <alignment horizontal="center" vertical="center"/>
    </xf>
    <xf numFmtId="0" fontId="8" fillId="0" borderId="50" xfId="0" applyFont="1" applyBorder="1"/>
    <xf numFmtId="3" fontId="7" fillId="10" borderId="3" xfId="0" applyNumberFormat="1" applyFont="1" applyFill="1" applyBorder="1" applyAlignment="1">
      <alignment horizontal="center" vertical="center"/>
    </xf>
    <xf numFmtId="3" fontId="7" fillId="13" borderId="31" xfId="0" applyNumberFormat="1" applyFont="1" applyFill="1" applyBorder="1" applyAlignment="1">
      <alignment horizontal="center" vertical="center"/>
    </xf>
    <xf numFmtId="3" fontId="7" fillId="13" borderId="3" xfId="0" applyNumberFormat="1" applyFont="1" applyFill="1" applyBorder="1" applyAlignment="1">
      <alignment horizontal="center" vertical="center"/>
    </xf>
    <xf numFmtId="166" fontId="7" fillId="13" borderId="3" xfId="1" applyNumberFormat="1" applyFont="1" applyFill="1" applyBorder="1" applyAlignment="1">
      <alignment horizontal="center" vertical="center"/>
    </xf>
    <xf numFmtId="0" fontId="8" fillId="13" borderId="3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3" fontId="7" fillId="0" borderId="0" xfId="0" applyNumberFormat="1" applyFont="1" applyAlignment="1">
      <alignment horizontal="center" vertical="center"/>
    </xf>
    <xf numFmtId="0" fontId="8" fillId="0" borderId="51" xfId="0" applyFont="1" applyBorder="1"/>
    <xf numFmtId="0" fontId="5" fillId="0" borderId="0" xfId="0" applyFont="1" applyAlignment="1">
      <alignment horizontal="center" vertical="center" wrapText="1"/>
    </xf>
    <xf numFmtId="1" fontId="8" fillId="13" borderId="21" xfId="0" applyNumberFormat="1" applyFont="1" applyFill="1" applyBorder="1" applyAlignment="1">
      <alignment horizontal="center" vertical="center"/>
    </xf>
    <xf numFmtId="166" fontId="7" fillId="10" borderId="3" xfId="1" applyNumberFormat="1" applyFont="1" applyFill="1" applyBorder="1" applyAlignment="1">
      <alignment horizontal="center" vertical="center" wrapText="1"/>
    </xf>
    <xf numFmtId="0" fontId="5" fillId="13" borderId="3" xfId="0" applyFont="1" applyFill="1" applyBorder="1" applyAlignment="1">
      <alignment horizontal="center" vertical="center" wrapText="1"/>
    </xf>
    <xf numFmtId="1" fontId="8" fillId="13" borderId="3" xfId="0" applyNumberFormat="1" applyFont="1" applyFill="1" applyBorder="1" applyAlignment="1">
      <alignment horizontal="center" vertical="center"/>
    </xf>
    <xf numFmtId="0" fontId="9" fillId="13" borderId="3" xfId="0" applyFont="1" applyFill="1" applyBorder="1" applyAlignment="1">
      <alignment horizontal="left" vertical="center" wrapText="1"/>
    </xf>
    <xf numFmtId="0" fontId="9" fillId="13" borderId="3" xfId="0" applyFont="1" applyFill="1" applyBorder="1" applyAlignment="1">
      <alignment horizontal="left" vertical="center"/>
    </xf>
    <xf numFmtId="166" fontId="7" fillId="10" borderId="3" xfId="1" applyNumberFormat="1" applyFont="1" applyFill="1" applyBorder="1" applyAlignment="1">
      <alignment horizontal="center" vertical="center"/>
    </xf>
    <xf numFmtId="1" fontId="7" fillId="13" borderId="21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top" wrapText="1"/>
    </xf>
    <xf numFmtId="164" fontId="0" fillId="2" borderId="52" xfId="2" applyNumberFormat="1" applyFont="1" applyFill="1" applyBorder="1" applyAlignment="1">
      <alignment horizontal="center" vertical="center"/>
    </xf>
    <xf numFmtId="164" fontId="0" fillId="0" borderId="53" xfId="2" applyNumberFormat="1" applyFont="1" applyFill="1" applyBorder="1" applyAlignment="1">
      <alignment horizontal="center" vertical="center"/>
    </xf>
    <xf numFmtId="164" fontId="0" fillId="2" borderId="53" xfId="2" applyNumberFormat="1" applyFont="1" applyFill="1" applyBorder="1" applyAlignment="1">
      <alignment horizontal="center" vertical="center"/>
    </xf>
    <xf numFmtId="164" fontId="0" fillId="2" borderId="18" xfId="2" applyNumberFormat="1" applyFont="1" applyFill="1" applyBorder="1" applyAlignment="1">
      <alignment horizontal="center" vertical="center"/>
    </xf>
    <xf numFmtId="164" fontId="0" fillId="0" borderId="11" xfId="2" applyNumberFormat="1" applyFont="1" applyFill="1" applyBorder="1" applyAlignment="1">
      <alignment horizontal="center" vertical="center"/>
    </xf>
    <xf numFmtId="164" fontId="0" fillId="2" borderId="11" xfId="2" applyNumberFormat="1" applyFont="1" applyFill="1" applyBorder="1" applyAlignment="1">
      <alignment horizontal="center" vertical="center"/>
    </xf>
    <xf numFmtId="164" fontId="0" fillId="2" borderId="54" xfId="2" applyNumberFormat="1" applyFont="1" applyFill="1" applyBorder="1" applyAlignment="1">
      <alignment horizontal="center" vertical="center"/>
    </xf>
    <xf numFmtId="164" fontId="0" fillId="2" borderId="22" xfId="2" applyNumberFormat="1" applyFont="1" applyFill="1" applyBorder="1" applyAlignment="1">
      <alignment horizontal="center" vertical="center"/>
    </xf>
    <xf numFmtId="164" fontId="0" fillId="0" borderId="22" xfId="2" applyNumberFormat="1" applyFont="1" applyFill="1" applyBorder="1" applyAlignment="1">
      <alignment horizontal="center" vertical="center"/>
    </xf>
    <xf numFmtId="164" fontId="0" fillId="2" borderId="55" xfId="2" applyNumberFormat="1" applyFont="1" applyFill="1" applyBorder="1" applyAlignment="1">
      <alignment horizontal="center" vertical="center"/>
    </xf>
    <xf numFmtId="166" fontId="0" fillId="2" borderId="27" xfId="1" applyNumberFormat="1" applyFont="1" applyFill="1" applyBorder="1" applyAlignment="1">
      <alignment horizontal="center" vertical="center"/>
    </xf>
    <xf numFmtId="166" fontId="0" fillId="2" borderId="28" xfId="1" applyNumberFormat="1" applyFont="1" applyFill="1" applyBorder="1" applyAlignment="1">
      <alignment horizontal="center" vertical="center"/>
    </xf>
    <xf numFmtId="166" fontId="0" fillId="0" borderId="27" xfId="1" applyNumberFormat="1" applyFont="1" applyFill="1" applyBorder="1" applyAlignment="1">
      <alignment horizontal="center" vertical="center"/>
    </xf>
    <xf numFmtId="0" fontId="7" fillId="11" borderId="33" xfId="0" applyFont="1" applyFill="1" applyBorder="1" applyAlignment="1">
      <alignment horizontal="center" vertical="center" wrapText="1"/>
    </xf>
    <xf numFmtId="166" fontId="7" fillId="10" borderId="28" xfId="1" applyNumberFormat="1" applyFont="1" applyFill="1" applyBorder="1" applyAlignment="1">
      <alignment horizontal="center" vertical="center"/>
    </xf>
    <xf numFmtId="1" fontId="8" fillId="0" borderId="0" xfId="0" applyNumberFormat="1" applyFont="1" applyAlignment="1">
      <alignment horizontal="center" vertical="center"/>
    </xf>
    <xf numFmtId="3" fontId="8" fillId="0" borderId="0" xfId="0" applyNumberFormat="1" applyFont="1" applyAlignment="1">
      <alignment horizontal="center" vertical="center"/>
    </xf>
    <xf numFmtId="174" fontId="8" fillId="0" borderId="0" xfId="0" applyNumberFormat="1" applyFont="1"/>
    <xf numFmtId="0" fontId="2" fillId="0" borderId="19" xfId="0" applyFont="1" applyFill="1" applyBorder="1" applyAlignment="1">
      <alignment horizontal="center" vertical="center"/>
    </xf>
    <xf numFmtId="0" fontId="2" fillId="0" borderId="21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1" fillId="0" borderId="29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1" fillId="0" borderId="37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9" xfId="0" applyFont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 wrapText="1"/>
    </xf>
    <xf numFmtId="0" fontId="1" fillId="0" borderId="20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 wrapText="1"/>
    </xf>
    <xf numFmtId="0" fontId="2" fillId="0" borderId="20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1" fillId="0" borderId="30" xfId="0" applyFont="1" applyBorder="1" applyAlignment="1">
      <alignment horizontal="center" vertical="center" wrapText="1"/>
    </xf>
    <xf numFmtId="0" fontId="2" fillId="0" borderId="17" xfId="0" applyFont="1" applyFill="1" applyBorder="1" applyAlignment="1">
      <alignment horizontal="center" vertical="center" wrapText="1"/>
    </xf>
    <xf numFmtId="0" fontId="2" fillId="0" borderId="18" xfId="0" applyFont="1" applyFill="1" applyBorder="1" applyAlignment="1">
      <alignment horizontal="center" vertical="center" wrapText="1"/>
    </xf>
    <xf numFmtId="0" fontId="2" fillId="0" borderId="19" xfId="0" applyFont="1" applyFill="1" applyBorder="1" applyAlignment="1">
      <alignment horizontal="center" vertical="center" wrapText="1"/>
    </xf>
    <xf numFmtId="0" fontId="2" fillId="0" borderId="21" xfId="0" applyFont="1" applyFill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 wrapText="1"/>
    </xf>
    <xf numFmtId="0" fontId="9" fillId="13" borderId="15" xfId="0" applyFont="1" applyFill="1" applyBorder="1" applyAlignment="1">
      <alignment horizontal="center" vertical="center"/>
    </xf>
    <xf numFmtId="0" fontId="9" fillId="0" borderId="17" xfId="0" applyFont="1" applyBorder="1"/>
    <xf numFmtId="0" fontId="8" fillId="0" borderId="32" xfId="0" applyFont="1" applyBorder="1"/>
    <xf numFmtId="0" fontId="8" fillId="0" borderId="49" xfId="0" applyFont="1" applyBorder="1"/>
    <xf numFmtId="0" fontId="9" fillId="13" borderId="20" xfId="0" applyFont="1" applyFill="1" applyBorder="1" applyAlignment="1">
      <alignment horizontal="center" vertical="center" wrapText="1"/>
    </xf>
    <xf numFmtId="0" fontId="8" fillId="0" borderId="30" xfId="0" applyFont="1" applyBorder="1"/>
    <xf numFmtId="0" fontId="8" fillId="0" borderId="31" xfId="0" applyFont="1" applyBorder="1"/>
    <xf numFmtId="0" fontId="9" fillId="12" borderId="20" xfId="0" applyFont="1" applyFill="1" applyBorder="1" applyAlignment="1">
      <alignment horizontal="center" vertical="center" wrapText="1"/>
    </xf>
    <xf numFmtId="0" fontId="9" fillId="12" borderId="31" xfId="0" applyFont="1" applyFill="1" applyBorder="1" applyAlignment="1">
      <alignment horizontal="center" vertical="center" wrapText="1"/>
    </xf>
    <xf numFmtId="0" fontId="9" fillId="14" borderId="20" xfId="0" applyFont="1" applyFill="1" applyBorder="1" applyAlignment="1">
      <alignment horizontal="center" vertical="center" wrapText="1"/>
    </xf>
    <xf numFmtId="0" fontId="10" fillId="14" borderId="31" xfId="0" applyFont="1" applyFill="1" applyBorder="1" applyAlignment="1">
      <alignment horizontal="center" vertical="center"/>
    </xf>
    <xf numFmtId="0" fontId="9" fillId="15" borderId="20" xfId="0" applyFont="1" applyFill="1" applyBorder="1" applyAlignment="1">
      <alignment horizontal="center" vertical="center"/>
    </xf>
    <xf numFmtId="0" fontId="10" fillId="0" borderId="30" xfId="0" applyFont="1" applyBorder="1" applyAlignment="1">
      <alignment horizontal="center" vertical="center"/>
    </xf>
    <xf numFmtId="0" fontId="10" fillId="0" borderId="31" xfId="0" applyFont="1" applyBorder="1" applyAlignment="1">
      <alignment horizontal="center" vertical="center"/>
    </xf>
    <xf numFmtId="0" fontId="8" fillId="3" borderId="0" xfId="0" applyFont="1" applyFill="1" applyAlignment="1">
      <alignment vertical="center"/>
    </xf>
    <xf numFmtId="3" fontId="8" fillId="3" borderId="0" xfId="0" applyNumberFormat="1" applyFont="1" applyFill="1" applyAlignment="1">
      <alignment vertical="center"/>
    </xf>
    <xf numFmtId="0" fontId="8" fillId="0" borderId="0" xfId="0" applyFont="1" applyAlignment="1">
      <alignment vertical="center"/>
    </xf>
    <xf numFmtId="175" fontId="8" fillId="0" borderId="0" xfId="0" applyNumberFormat="1" applyFont="1" applyAlignment="1">
      <alignment vertical="center"/>
    </xf>
    <xf numFmtId="3" fontId="8" fillId="0" borderId="0" xfId="0" applyNumberFormat="1" applyFont="1" applyAlignment="1">
      <alignment vertical="center"/>
    </xf>
    <xf numFmtId="174" fontId="8" fillId="0" borderId="0" xfId="0" applyNumberFormat="1" applyFont="1" applyAlignment="1">
      <alignment vertical="center"/>
    </xf>
    <xf numFmtId="167" fontId="8" fillId="0" borderId="0" xfId="0" applyNumberFormat="1" applyFont="1" applyAlignment="1">
      <alignment vertical="center"/>
    </xf>
    <xf numFmtId="167" fontId="8" fillId="3" borderId="0" xfId="0" applyNumberFormat="1" applyFont="1" applyFill="1" applyAlignment="1">
      <alignment vertical="center"/>
    </xf>
    <xf numFmtId="175" fontId="8" fillId="3" borderId="0" xfId="0" applyNumberFormat="1" applyFont="1" applyFill="1" applyAlignment="1">
      <alignment vertical="center"/>
    </xf>
    <xf numFmtId="174" fontId="8" fillId="3" borderId="0" xfId="0" applyNumberFormat="1" applyFont="1" applyFill="1" applyAlignment="1">
      <alignment vertical="center"/>
    </xf>
  </cellXfs>
  <cellStyles count="3">
    <cellStyle name="Обычный" xfId="0" builtinId="0"/>
    <cellStyle name="Процентный" xfId="1" builtinId="5"/>
    <cellStyle name="Финансовый" xfId="2" builtinId="3"/>
  </cellStyles>
  <dxfs count="11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219075</xdr:colOff>
      <xdr:row>1</xdr:row>
      <xdr:rowOff>16094</xdr:rowOff>
    </xdr:from>
    <xdr:to>
      <xdr:col>32</xdr:col>
      <xdr:colOff>457200</xdr:colOff>
      <xdr:row>1</xdr:row>
      <xdr:rowOff>265058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13903" y="226301"/>
          <a:ext cx="238125" cy="248964"/>
        </a:xfrm>
        <a:prstGeom prst="rect">
          <a:avLst/>
        </a:prstGeom>
      </xdr:spPr>
    </xdr:pic>
    <xdr:clientData/>
  </xdr:twoCellAnchor>
  <xdr:twoCellAnchor editAs="oneCell">
    <xdr:from>
      <xdr:col>33</xdr:col>
      <xdr:colOff>142875</xdr:colOff>
      <xdr:row>1</xdr:row>
      <xdr:rowOff>16094</xdr:rowOff>
    </xdr:from>
    <xdr:to>
      <xdr:col>33</xdr:col>
      <xdr:colOff>381000</xdr:colOff>
      <xdr:row>1</xdr:row>
      <xdr:rowOff>265058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14306" y="226301"/>
          <a:ext cx="238125" cy="248964"/>
        </a:xfrm>
        <a:prstGeom prst="rect">
          <a:avLst/>
        </a:prstGeom>
      </xdr:spPr>
    </xdr:pic>
    <xdr:clientData/>
  </xdr:twoCellAnchor>
  <xdr:twoCellAnchor editAs="oneCell">
    <xdr:from>
      <xdr:col>36</xdr:col>
      <xdr:colOff>170793</xdr:colOff>
      <xdr:row>1</xdr:row>
      <xdr:rowOff>6569</xdr:rowOff>
    </xdr:from>
    <xdr:to>
      <xdr:col>36</xdr:col>
      <xdr:colOff>408918</xdr:colOff>
      <xdr:row>1</xdr:row>
      <xdr:rowOff>254219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48586" y="216776"/>
          <a:ext cx="238125" cy="247650"/>
        </a:xfrm>
        <a:prstGeom prst="rect">
          <a:avLst/>
        </a:prstGeom>
      </xdr:spPr>
    </xdr:pic>
    <xdr:clientData/>
  </xdr:twoCellAnchor>
  <xdr:twoCellAnchor editAs="oneCell">
    <xdr:from>
      <xdr:col>34</xdr:col>
      <xdr:colOff>210207</xdr:colOff>
      <xdr:row>1</xdr:row>
      <xdr:rowOff>6569</xdr:rowOff>
    </xdr:from>
    <xdr:to>
      <xdr:col>34</xdr:col>
      <xdr:colOff>448332</xdr:colOff>
      <xdr:row>1</xdr:row>
      <xdr:rowOff>254219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66173" y="216776"/>
          <a:ext cx="238125" cy="247650"/>
        </a:xfrm>
        <a:prstGeom prst="rect">
          <a:avLst/>
        </a:prstGeom>
      </xdr:spPr>
    </xdr:pic>
    <xdr:clientData/>
  </xdr:twoCellAnchor>
  <xdr:twoCellAnchor editAs="oneCell">
    <xdr:from>
      <xdr:col>37</xdr:col>
      <xdr:colOff>177362</xdr:colOff>
      <xdr:row>1</xdr:row>
      <xdr:rowOff>19707</xdr:rowOff>
    </xdr:from>
    <xdr:to>
      <xdr:col>37</xdr:col>
      <xdr:colOff>415487</xdr:colOff>
      <xdr:row>1</xdr:row>
      <xdr:rowOff>267357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76983" y="229914"/>
          <a:ext cx="238125" cy="247650"/>
        </a:xfrm>
        <a:prstGeom prst="rect">
          <a:avLst/>
        </a:prstGeom>
      </xdr:spPr>
    </xdr:pic>
    <xdr:clientData/>
  </xdr:twoCellAnchor>
  <xdr:twoCellAnchor editAs="oneCell">
    <xdr:from>
      <xdr:col>35</xdr:col>
      <xdr:colOff>197070</xdr:colOff>
      <xdr:row>1</xdr:row>
      <xdr:rowOff>13138</xdr:rowOff>
    </xdr:from>
    <xdr:to>
      <xdr:col>35</xdr:col>
      <xdr:colOff>435195</xdr:colOff>
      <xdr:row>1</xdr:row>
      <xdr:rowOff>260788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duotone>
            <a:prstClr val="black"/>
            <a:schemeClr val="accent6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63949" y="223345"/>
          <a:ext cx="238125" cy="247650"/>
        </a:xfrm>
        <a:prstGeom prst="rect">
          <a:avLst/>
        </a:prstGeom>
        <a:noFill/>
      </xdr:spPr>
    </xdr:pic>
    <xdr:clientData/>
  </xdr:twoCellAnchor>
  <xdr:twoCellAnchor editAs="oneCell">
    <xdr:from>
      <xdr:col>31</xdr:col>
      <xdr:colOff>426326</xdr:colOff>
      <xdr:row>2</xdr:row>
      <xdr:rowOff>22336</xdr:rowOff>
    </xdr:from>
    <xdr:to>
      <xdr:col>31</xdr:col>
      <xdr:colOff>664451</xdr:colOff>
      <xdr:row>3</xdr:row>
      <xdr:rowOff>657</xdr:rowOff>
    </xdr:to>
    <xdr:pic>
      <xdr:nvPicPr>
        <xdr:cNvPr id="24" name="Рисунок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56981" y="521577"/>
          <a:ext cx="238125" cy="247650"/>
        </a:xfrm>
        <a:prstGeom prst="rect">
          <a:avLst/>
        </a:prstGeom>
      </xdr:spPr>
    </xdr:pic>
    <xdr:clientData/>
  </xdr:twoCellAnchor>
  <xdr:twoCellAnchor editAs="oneCell">
    <xdr:from>
      <xdr:col>31</xdr:col>
      <xdr:colOff>422182</xdr:colOff>
      <xdr:row>8</xdr:row>
      <xdr:rowOff>4295</xdr:rowOff>
    </xdr:from>
    <xdr:to>
      <xdr:col>31</xdr:col>
      <xdr:colOff>660307</xdr:colOff>
      <xdr:row>8</xdr:row>
      <xdr:rowOff>251945</xdr:rowOff>
    </xdr:to>
    <xdr:pic>
      <xdr:nvPicPr>
        <xdr:cNvPr id="20" name="Рисунок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42932" y="2202372"/>
          <a:ext cx="238125" cy="247650"/>
        </a:xfrm>
        <a:prstGeom prst="rect">
          <a:avLst/>
        </a:prstGeom>
      </xdr:spPr>
    </xdr:pic>
    <xdr:clientData/>
  </xdr:twoCellAnchor>
  <xdr:twoCellAnchor editAs="oneCell">
    <xdr:from>
      <xdr:col>31</xdr:col>
      <xdr:colOff>417635</xdr:colOff>
      <xdr:row>3</xdr:row>
      <xdr:rowOff>14654</xdr:rowOff>
    </xdr:from>
    <xdr:to>
      <xdr:col>31</xdr:col>
      <xdr:colOff>655760</xdr:colOff>
      <xdr:row>3</xdr:row>
      <xdr:rowOff>263618</xdr:rowOff>
    </xdr:to>
    <xdr:pic>
      <xdr:nvPicPr>
        <xdr:cNvPr id="22" name="Рисунок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38385" y="776654"/>
          <a:ext cx="238125" cy="248964"/>
        </a:xfrm>
        <a:prstGeom prst="rect">
          <a:avLst/>
        </a:prstGeom>
      </xdr:spPr>
    </xdr:pic>
    <xdr:clientData/>
  </xdr:twoCellAnchor>
  <xdr:twoCellAnchor editAs="oneCell">
    <xdr:from>
      <xdr:col>31</xdr:col>
      <xdr:colOff>410308</xdr:colOff>
      <xdr:row>6</xdr:row>
      <xdr:rowOff>80596</xdr:rowOff>
    </xdr:from>
    <xdr:to>
      <xdr:col>31</xdr:col>
      <xdr:colOff>648433</xdr:colOff>
      <xdr:row>6</xdr:row>
      <xdr:rowOff>328246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96231" y="1758461"/>
          <a:ext cx="238125" cy="247650"/>
        </a:xfrm>
        <a:prstGeom prst="rect">
          <a:avLst/>
        </a:prstGeom>
      </xdr:spPr>
    </xdr:pic>
    <xdr:clientData/>
  </xdr:twoCellAnchor>
  <xdr:twoCellAnchor editAs="oneCell">
    <xdr:from>
      <xdr:col>31</xdr:col>
      <xdr:colOff>417635</xdr:colOff>
      <xdr:row>5</xdr:row>
      <xdr:rowOff>0</xdr:rowOff>
    </xdr:from>
    <xdr:to>
      <xdr:col>31</xdr:col>
      <xdr:colOff>655760</xdr:colOff>
      <xdr:row>5</xdr:row>
      <xdr:rowOff>247650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603558" y="1414096"/>
          <a:ext cx="238125" cy="247650"/>
        </a:xfrm>
        <a:prstGeom prst="rect">
          <a:avLst/>
        </a:prstGeom>
      </xdr:spPr>
    </xdr:pic>
    <xdr:clientData/>
  </xdr:twoCellAnchor>
  <xdr:twoCellAnchor editAs="oneCell">
    <xdr:from>
      <xdr:col>31</xdr:col>
      <xdr:colOff>424962</xdr:colOff>
      <xdr:row>4</xdr:row>
      <xdr:rowOff>14654</xdr:rowOff>
    </xdr:from>
    <xdr:to>
      <xdr:col>31</xdr:col>
      <xdr:colOff>663087</xdr:colOff>
      <xdr:row>4</xdr:row>
      <xdr:rowOff>262304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610885" y="1164981"/>
          <a:ext cx="238125" cy="247650"/>
        </a:xfrm>
        <a:prstGeom prst="rect">
          <a:avLst/>
        </a:prstGeom>
      </xdr:spPr>
    </xdr:pic>
    <xdr:clientData/>
  </xdr:twoCellAnchor>
  <xdr:twoCellAnchor editAs="oneCell">
    <xdr:from>
      <xdr:col>31</xdr:col>
      <xdr:colOff>417634</xdr:colOff>
      <xdr:row>7</xdr:row>
      <xdr:rowOff>0</xdr:rowOff>
    </xdr:from>
    <xdr:to>
      <xdr:col>31</xdr:col>
      <xdr:colOff>655759</xdr:colOff>
      <xdr:row>7</xdr:row>
      <xdr:rowOff>247650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603557" y="2058865"/>
          <a:ext cx="238125" cy="247650"/>
        </a:xfrm>
        <a:prstGeom prst="rect">
          <a:avLst/>
        </a:prstGeom>
      </xdr:spPr>
    </xdr:pic>
    <xdr:clientData/>
  </xdr:twoCellAnchor>
  <xdr:twoCellAnchor editAs="oneCell">
    <xdr:from>
      <xdr:col>31</xdr:col>
      <xdr:colOff>417634</xdr:colOff>
      <xdr:row>9</xdr:row>
      <xdr:rowOff>7327</xdr:rowOff>
    </xdr:from>
    <xdr:to>
      <xdr:col>31</xdr:col>
      <xdr:colOff>655759</xdr:colOff>
      <xdr:row>9</xdr:row>
      <xdr:rowOff>254977</xdr:rowOff>
    </xdr:to>
    <xdr:pic>
      <xdr:nvPicPr>
        <xdr:cNvPr id="26" name="Рисунок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603557" y="2593731"/>
          <a:ext cx="238125" cy="247650"/>
        </a:xfrm>
        <a:prstGeom prst="rect">
          <a:avLst/>
        </a:prstGeom>
      </xdr:spPr>
    </xdr:pic>
    <xdr:clientData/>
  </xdr:twoCellAnchor>
  <xdr:twoCellAnchor editAs="oneCell">
    <xdr:from>
      <xdr:col>31</xdr:col>
      <xdr:colOff>417635</xdr:colOff>
      <xdr:row>10</xdr:row>
      <xdr:rowOff>14653</xdr:rowOff>
    </xdr:from>
    <xdr:to>
      <xdr:col>31</xdr:col>
      <xdr:colOff>655760</xdr:colOff>
      <xdr:row>10</xdr:row>
      <xdr:rowOff>262303</xdr:rowOff>
    </xdr:to>
    <xdr:pic>
      <xdr:nvPicPr>
        <xdr:cNvPr id="32" name="Рисунок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603558" y="2864826"/>
          <a:ext cx="238125" cy="2476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3</xdr:row>
          <xdr:rowOff>47625</xdr:rowOff>
        </xdr:from>
        <xdr:to>
          <xdr:col>11</xdr:col>
          <xdr:colOff>304800</xdr:colOff>
          <xdr:row>6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Поиск F5 &gt; F1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M21"/>
  <sheetViews>
    <sheetView zoomScale="130" zoomScaleNormal="130" workbookViewId="0">
      <pane xSplit="2" ySplit="2" topLeftCell="AB3" activePane="bottomRight" state="frozen"/>
      <selection pane="topRight" activeCell="C1" sqref="C1"/>
      <selection pane="bottomLeft" activeCell="A3" sqref="A3"/>
      <selection pane="bottomRight" activeCell="A7" sqref="A7"/>
    </sheetView>
  </sheetViews>
  <sheetFormatPr defaultRowHeight="15" x14ac:dyDescent="0.25"/>
  <cols>
    <col min="1" max="1" width="14.7109375" customWidth="1"/>
    <col min="2" max="2" width="4.7109375" bestFit="1" customWidth="1"/>
    <col min="3" max="13" width="10.85546875" customWidth="1"/>
    <col min="14" max="14" width="9.7109375" customWidth="1"/>
    <col min="15" max="15" width="13.140625" customWidth="1"/>
    <col min="16" max="16" width="9.7109375" customWidth="1"/>
    <col min="17" max="18" width="3.85546875" bestFit="1" customWidth="1"/>
    <col min="19" max="19" width="11.85546875" bestFit="1" customWidth="1"/>
    <col min="20" max="20" width="12.7109375" bestFit="1" customWidth="1"/>
    <col min="21" max="21" width="12.28515625" bestFit="1" customWidth="1"/>
    <col min="22" max="22" width="10.85546875" bestFit="1" customWidth="1"/>
    <col min="23" max="23" width="10.85546875" customWidth="1"/>
    <col min="25" max="25" width="11.42578125" bestFit="1" customWidth="1"/>
    <col min="26" max="26" width="12" bestFit="1" customWidth="1"/>
    <col min="28" max="28" width="9.140625" customWidth="1"/>
    <col min="29" max="29" width="14.7109375" bestFit="1" customWidth="1"/>
    <col min="30" max="30" width="14.5703125" bestFit="1" customWidth="1"/>
    <col min="31" max="31" width="14.5703125" customWidth="1"/>
    <col min="32" max="32" width="16" customWidth="1"/>
    <col min="33" max="33" width="10.140625" customWidth="1"/>
    <col min="34" max="34" width="8.28515625" customWidth="1"/>
    <col min="38" max="38" width="9.140625" customWidth="1"/>
  </cols>
  <sheetData>
    <row r="1" spans="1:39" ht="16.5" thickBot="1" x14ac:dyDescent="0.3">
      <c r="A1" s="247" t="s">
        <v>9</v>
      </c>
      <c r="B1" s="247" t="s">
        <v>16</v>
      </c>
      <c r="C1" s="250" t="s">
        <v>39</v>
      </c>
      <c r="D1" s="254"/>
      <c r="E1" s="254"/>
      <c r="F1" s="255"/>
      <c r="G1" s="247" t="s">
        <v>10</v>
      </c>
      <c r="H1" s="250" t="s">
        <v>11</v>
      </c>
      <c r="I1" s="250" t="s">
        <v>42</v>
      </c>
      <c r="J1" s="254"/>
      <c r="K1" s="254"/>
      <c r="L1" s="254"/>
      <c r="M1" s="254"/>
      <c r="N1" s="254"/>
      <c r="O1" s="254"/>
      <c r="P1" s="255"/>
      <c r="Q1" s="263" t="s">
        <v>90</v>
      </c>
      <c r="R1" s="264"/>
      <c r="S1" s="264"/>
      <c r="T1" s="264"/>
      <c r="U1" s="265"/>
      <c r="V1" s="256" t="s">
        <v>38</v>
      </c>
      <c r="W1" s="256"/>
      <c r="X1" s="257"/>
      <c r="Y1" s="257"/>
      <c r="Z1" s="257"/>
      <c r="AA1" s="257"/>
      <c r="AB1" s="258"/>
      <c r="AC1" s="259" t="s">
        <v>43</v>
      </c>
      <c r="AD1" s="261" t="s">
        <v>44</v>
      </c>
      <c r="AE1" s="262"/>
      <c r="AF1" s="252" t="s">
        <v>37</v>
      </c>
      <c r="AG1" s="253"/>
      <c r="AH1" s="253"/>
      <c r="AI1" s="253"/>
      <c r="AJ1" s="253"/>
      <c r="AK1" s="253"/>
      <c r="AL1" s="253"/>
      <c r="AM1" s="253"/>
    </row>
    <row r="2" spans="1:39" s="1" customFormat="1" ht="32.25" thickBot="1" x14ac:dyDescent="0.3">
      <c r="A2" s="248"/>
      <c r="B2" s="248"/>
      <c r="C2" s="18" t="s">
        <v>33</v>
      </c>
      <c r="D2" s="18" t="s">
        <v>34</v>
      </c>
      <c r="E2" s="19" t="s">
        <v>35</v>
      </c>
      <c r="F2" s="26" t="s">
        <v>36</v>
      </c>
      <c r="G2" s="249"/>
      <c r="H2" s="251"/>
      <c r="I2" s="18" t="s">
        <v>12</v>
      </c>
      <c r="J2" s="18" t="s">
        <v>13</v>
      </c>
      <c r="K2" s="18" t="s">
        <v>14</v>
      </c>
      <c r="L2" s="53" t="s">
        <v>32</v>
      </c>
      <c r="M2" s="55" t="s">
        <v>103</v>
      </c>
      <c r="N2" s="55" t="s">
        <v>47</v>
      </c>
      <c r="O2" s="115" t="s">
        <v>89</v>
      </c>
      <c r="P2" s="120" t="s">
        <v>59</v>
      </c>
      <c r="Q2" s="115" t="s">
        <v>69</v>
      </c>
      <c r="R2" s="115" t="s">
        <v>62</v>
      </c>
      <c r="S2" s="115" t="s">
        <v>84</v>
      </c>
      <c r="T2" s="115" t="s">
        <v>83</v>
      </c>
      <c r="U2" s="115" t="s">
        <v>82</v>
      </c>
      <c r="V2" s="116" t="s">
        <v>102</v>
      </c>
      <c r="W2" s="134" t="s">
        <v>26</v>
      </c>
      <c r="X2" s="18" t="s">
        <v>27</v>
      </c>
      <c r="Y2" s="18" t="s">
        <v>28</v>
      </c>
      <c r="Z2" s="18" t="s">
        <v>30</v>
      </c>
      <c r="AA2" s="18" t="s">
        <v>31</v>
      </c>
      <c r="AB2" s="18" t="s">
        <v>29</v>
      </c>
      <c r="AC2" s="260"/>
      <c r="AD2" s="52" t="s">
        <v>46</v>
      </c>
      <c r="AE2" s="52" t="s">
        <v>45</v>
      </c>
      <c r="AF2" s="18" t="s">
        <v>40</v>
      </c>
      <c r="AG2" s="18"/>
      <c r="AH2" s="18"/>
      <c r="AI2" s="18"/>
      <c r="AJ2" s="18"/>
      <c r="AK2" s="18"/>
      <c r="AL2" s="19"/>
      <c r="AM2" s="30" t="s">
        <v>41</v>
      </c>
    </row>
    <row r="3" spans="1:39" s="5" customFormat="1" ht="21" customHeight="1" x14ac:dyDescent="0.25">
      <c r="A3" s="40" t="s">
        <v>5</v>
      </c>
      <c r="B3" s="15" t="s">
        <v>17</v>
      </c>
      <c r="C3" s="15">
        <v>10</v>
      </c>
      <c r="D3" s="15">
        <v>5</v>
      </c>
      <c r="E3" s="20"/>
      <c r="F3" s="27">
        <f>SUM(C3:E3)</f>
        <v>15</v>
      </c>
      <c r="G3" s="22"/>
      <c r="H3" s="20"/>
      <c r="I3" s="17">
        <v>7</v>
      </c>
      <c r="J3" s="15">
        <v>7</v>
      </c>
      <c r="K3" s="16">
        <v>0</v>
      </c>
      <c r="L3" s="111">
        <f>SUM(I3:K3)</f>
        <v>14</v>
      </c>
      <c r="M3" s="16">
        <v>1</v>
      </c>
      <c r="N3" s="94">
        <f>Провиант!B3</f>
        <v>3</v>
      </c>
      <c r="O3" s="95">
        <f>Провиант!C3</f>
        <v>3</v>
      </c>
      <c r="P3" s="119">
        <f>Провиант!D3</f>
        <v>0</v>
      </c>
      <c r="Q3" s="94">
        <f>Энергия!B3</f>
        <v>1</v>
      </c>
      <c r="R3" s="95">
        <f>Энергия!C3</f>
        <v>0</v>
      </c>
      <c r="S3" s="95">
        <f>Энергия!V3</f>
        <v>96.75</v>
      </c>
      <c r="T3" s="95">
        <f>Энергия!W3</f>
        <v>60</v>
      </c>
      <c r="U3" s="114">
        <f>Энергия!X3</f>
        <v>-36.75</v>
      </c>
      <c r="V3" s="22">
        <f>(10+14+4+3)-M3*8</f>
        <v>23</v>
      </c>
      <c r="W3" s="22">
        <f>M3*4</f>
        <v>4</v>
      </c>
      <c r="X3" s="15">
        <f>11</f>
        <v>11</v>
      </c>
      <c r="Y3" s="15">
        <f>23</f>
        <v>23</v>
      </c>
      <c r="Z3" s="15">
        <f>5</f>
        <v>5</v>
      </c>
      <c r="AA3" s="15"/>
      <c r="AB3" s="16">
        <f>70</f>
        <v>70</v>
      </c>
      <c r="AC3" s="76">
        <v>18846379</v>
      </c>
      <c r="AD3" s="117">
        <f>AC3*127/1000</f>
        <v>2393490.1329999999</v>
      </c>
      <c r="AE3" s="118">
        <f>N3*Провиант!$B$12+База!O3*Провиант!$C$12</f>
        <v>946259.7</v>
      </c>
      <c r="AF3" s="22"/>
      <c r="AG3" s="31"/>
      <c r="AH3" s="31"/>
      <c r="AI3" s="31">
        <v>0.1</v>
      </c>
      <c r="AJ3" s="31"/>
      <c r="AK3" s="31">
        <v>0.17</v>
      </c>
      <c r="AL3" s="36">
        <v>0.73</v>
      </c>
      <c r="AM3" s="32">
        <f>1-SUM(AG3:AL3)</f>
        <v>0</v>
      </c>
    </row>
    <row r="4" spans="1:39" s="3" customFormat="1" ht="21" customHeight="1" x14ac:dyDescent="0.25">
      <c r="A4" s="41" t="s">
        <v>0</v>
      </c>
      <c r="B4" s="2" t="s">
        <v>18</v>
      </c>
      <c r="C4" s="2">
        <v>19</v>
      </c>
      <c r="D4" s="2">
        <v>5</v>
      </c>
      <c r="E4" s="7">
        <v>4</v>
      </c>
      <c r="F4" s="28">
        <f t="shared" ref="F4:F11" si="0">SUM(C4:E4)</f>
        <v>28</v>
      </c>
      <c r="G4" s="23"/>
      <c r="H4" s="7"/>
      <c r="I4" s="10">
        <v>10</v>
      </c>
      <c r="J4" s="2">
        <v>13</v>
      </c>
      <c r="K4" s="11">
        <v>5</v>
      </c>
      <c r="L4" s="112">
        <f t="shared" ref="L4:L11" si="1">SUM(I4:K4)</f>
        <v>28</v>
      </c>
      <c r="M4" s="11">
        <v>4</v>
      </c>
      <c r="N4" s="10">
        <f>Провиант!B4</f>
        <v>5</v>
      </c>
      <c r="O4" s="2">
        <f>Провиант!C4</f>
        <v>10</v>
      </c>
      <c r="P4" s="7">
        <f>Провиант!D4</f>
        <v>0</v>
      </c>
      <c r="Q4" s="10">
        <f>Энергия!B4</f>
        <v>3</v>
      </c>
      <c r="R4" s="2">
        <f>Энергия!C4</f>
        <v>0</v>
      </c>
      <c r="S4" s="2">
        <f>Энергия!V4</f>
        <v>220.75</v>
      </c>
      <c r="T4" s="2">
        <f>Энергия!W4</f>
        <v>180</v>
      </c>
      <c r="U4" s="11">
        <f>Энергия!X4</f>
        <v>-40.75</v>
      </c>
      <c r="V4" s="23">
        <f>(172+30+27)-M4*8</f>
        <v>197</v>
      </c>
      <c r="W4" s="137">
        <f t="shared" ref="W4:W11" si="2">M4*4</f>
        <v>16</v>
      </c>
      <c r="X4" s="2">
        <f>12+16</f>
        <v>28</v>
      </c>
      <c r="Y4" s="2">
        <f>16</f>
        <v>16</v>
      </c>
      <c r="Z4" s="2">
        <f>92</f>
        <v>92</v>
      </c>
      <c r="AA4" s="2"/>
      <c r="AB4" s="11">
        <f>5</f>
        <v>5</v>
      </c>
      <c r="AC4" s="75">
        <v>75685389</v>
      </c>
      <c r="AD4" s="83">
        <f t="shared" ref="AD4:AD11" si="3">AC4*127/1000</f>
        <v>9612044.4030000009</v>
      </c>
      <c r="AE4" s="88">
        <f>N4*Провиант!$B$12+База!O4*Провиант!$C$12</f>
        <v>1654199</v>
      </c>
      <c r="AF4" s="23"/>
      <c r="AG4" s="33">
        <v>0.44</v>
      </c>
      <c r="AH4" s="33">
        <v>0.33</v>
      </c>
      <c r="AI4" s="33">
        <v>0.17</v>
      </c>
      <c r="AJ4" s="33"/>
      <c r="AK4" s="33">
        <v>0.06</v>
      </c>
      <c r="AL4" s="37"/>
      <c r="AM4" s="32">
        <f t="shared" ref="AM4:AM11" si="4">1-SUM(AG4:AL4)</f>
        <v>0</v>
      </c>
    </row>
    <row r="5" spans="1:39" s="5" customFormat="1" ht="21" customHeight="1" x14ac:dyDescent="0.25">
      <c r="A5" s="42" t="s">
        <v>4</v>
      </c>
      <c r="B5" s="4" t="s">
        <v>19</v>
      </c>
      <c r="C5" s="4">
        <v>6</v>
      </c>
      <c r="D5" s="4">
        <v>2</v>
      </c>
      <c r="E5" s="6">
        <v>2</v>
      </c>
      <c r="F5" s="27">
        <f t="shared" si="0"/>
        <v>10</v>
      </c>
      <c r="G5" s="24"/>
      <c r="H5" s="6"/>
      <c r="I5" s="8">
        <v>15</v>
      </c>
      <c r="J5" s="4">
        <v>7</v>
      </c>
      <c r="K5" s="9">
        <v>12</v>
      </c>
      <c r="L5" s="111">
        <f t="shared" si="1"/>
        <v>34</v>
      </c>
      <c r="M5" s="9">
        <v>5</v>
      </c>
      <c r="N5" s="8">
        <f>Провиант!B5</f>
        <v>8</v>
      </c>
      <c r="O5" s="4">
        <f>Провиант!C5</f>
        <v>8</v>
      </c>
      <c r="P5" s="6">
        <f>Провиант!D5</f>
        <v>2</v>
      </c>
      <c r="Q5" s="8">
        <f>Энергия!B5</f>
        <v>2</v>
      </c>
      <c r="R5" s="4">
        <f>Энергия!C5</f>
        <v>1</v>
      </c>
      <c r="S5" s="4">
        <f>Энергия!V5</f>
        <v>258</v>
      </c>
      <c r="T5" s="4">
        <f>Энергия!W5</f>
        <v>270</v>
      </c>
      <c r="U5" s="9">
        <f>Энергия!X5</f>
        <v>12</v>
      </c>
      <c r="V5" s="24">
        <f>20+203+108-5-M5*8</f>
        <v>286</v>
      </c>
      <c r="W5" s="22">
        <f t="shared" si="2"/>
        <v>20</v>
      </c>
      <c r="X5" s="4">
        <f>40</f>
        <v>40</v>
      </c>
      <c r="Y5" s="4">
        <f>189</f>
        <v>189</v>
      </c>
      <c r="Z5" s="4">
        <f>15+28+39</f>
        <v>82</v>
      </c>
      <c r="AA5" s="4">
        <f>342+150</f>
        <v>492</v>
      </c>
      <c r="AB5" s="9">
        <f>12+320</f>
        <v>332</v>
      </c>
      <c r="AC5" s="76">
        <v>65982200</v>
      </c>
      <c r="AD5" s="85">
        <f t="shared" si="3"/>
        <v>8379739.4000000004</v>
      </c>
      <c r="AE5" s="84">
        <f>N5*Провиант!$B$12+База!O5*Провиант!$C$12</f>
        <v>2523359.2000000002</v>
      </c>
      <c r="AF5" s="24"/>
      <c r="AG5" s="34"/>
      <c r="AH5" s="34">
        <v>0.04</v>
      </c>
      <c r="AI5" s="34">
        <v>0.48</v>
      </c>
      <c r="AJ5" s="34"/>
      <c r="AK5" s="34">
        <v>0.34</v>
      </c>
      <c r="AL5" s="38">
        <v>0.14000000000000001</v>
      </c>
      <c r="AM5" s="32">
        <f t="shared" si="4"/>
        <v>0</v>
      </c>
    </row>
    <row r="6" spans="1:39" s="3" customFormat="1" ht="21" customHeight="1" x14ac:dyDescent="0.25">
      <c r="A6" s="41" t="s">
        <v>1</v>
      </c>
      <c r="B6" s="2" t="s">
        <v>20</v>
      </c>
      <c r="C6" s="2">
        <v>22</v>
      </c>
      <c r="D6" s="2">
        <v>4</v>
      </c>
      <c r="E6" s="7"/>
      <c r="F6" s="28">
        <f t="shared" si="0"/>
        <v>26</v>
      </c>
      <c r="G6" s="23"/>
      <c r="H6" s="7"/>
      <c r="I6" s="10">
        <v>12</v>
      </c>
      <c r="J6" s="2">
        <v>9</v>
      </c>
      <c r="K6" s="11">
        <v>3</v>
      </c>
      <c r="L6" s="112">
        <f t="shared" si="1"/>
        <v>24</v>
      </c>
      <c r="M6" s="11">
        <v>2</v>
      </c>
      <c r="N6" s="10">
        <f>Провиант!B6</f>
        <v>5</v>
      </c>
      <c r="O6" s="2">
        <f>Провиант!C6</f>
        <v>20</v>
      </c>
      <c r="P6" s="7">
        <f>Провиант!D6</f>
        <v>0</v>
      </c>
      <c r="Q6" s="10">
        <f>Энергия!B6</f>
        <v>3</v>
      </c>
      <c r="R6" s="2">
        <f>Энергия!C6</f>
        <v>0</v>
      </c>
      <c r="S6" s="2">
        <f>Энергия!V6</f>
        <v>180.25</v>
      </c>
      <c r="T6" s="2">
        <f>Энергия!W6</f>
        <v>180</v>
      </c>
      <c r="U6" s="11">
        <f>Энергия!X6</f>
        <v>-0.25</v>
      </c>
      <c r="V6" s="23">
        <f>70+19+10-M6*8</f>
        <v>83</v>
      </c>
      <c r="W6" s="137">
        <f t="shared" si="2"/>
        <v>8</v>
      </c>
      <c r="X6" s="2">
        <f>10+25</f>
        <v>35</v>
      </c>
      <c r="Y6" s="2">
        <f>24</f>
        <v>24</v>
      </c>
      <c r="Z6" s="2">
        <f>50</f>
        <v>50</v>
      </c>
      <c r="AA6" s="2"/>
      <c r="AB6" s="11">
        <f>80</f>
        <v>80</v>
      </c>
      <c r="AC6" s="75">
        <f>119352255+3161910</f>
        <v>122514165</v>
      </c>
      <c r="AD6" s="83">
        <f t="shared" si="3"/>
        <v>15559298.955</v>
      </c>
      <c r="AE6" s="88">
        <f>N6*Провиант!$B$12+База!O6*Провиант!$C$12</f>
        <v>1808398</v>
      </c>
      <c r="AF6" s="23"/>
      <c r="AG6" s="33">
        <v>0.05</v>
      </c>
      <c r="AH6" s="33">
        <v>0.24</v>
      </c>
      <c r="AI6" s="33">
        <v>0.11</v>
      </c>
      <c r="AJ6" s="33"/>
      <c r="AK6" s="33">
        <v>0.39</v>
      </c>
      <c r="AL6" s="37">
        <v>0.21</v>
      </c>
      <c r="AM6" s="32">
        <f t="shared" si="4"/>
        <v>0</v>
      </c>
    </row>
    <row r="7" spans="1:39" s="5" customFormat="1" ht="30" x14ac:dyDescent="0.25">
      <c r="A7" s="42" t="s">
        <v>7</v>
      </c>
      <c r="B7" s="4" t="s">
        <v>21</v>
      </c>
      <c r="C7" s="4">
        <v>19</v>
      </c>
      <c r="D7" s="4">
        <v>4</v>
      </c>
      <c r="E7" s="6">
        <v>5</v>
      </c>
      <c r="F7" s="27">
        <f t="shared" si="0"/>
        <v>28</v>
      </c>
      <c r="G7" s="24"/>
      <c r="H7" s="6"/>
      <c r="I7" s="8">
        <v>23</v>
      </c>
      <c r="J7" s="4">
        <v>12</v>
      </c>
      <c r="K7" s="9">
        <v>9</v>
      </c>
      <c r="L7" s="111">
        <f t="shared" si="1"/>
        <v>44</v>
      </c>
      <c r="M7" s="9">
        <v>5</v>
      </c>
      <c r="N7" s="8">
        <f>Провиант!B7</f>
        <v>10</v>
      </c>
      <c r="O7" s="4">
        <f>Провиант!C7</f>
        <v>15</v>
      </c>
      <c r="P7" s="6">
        <f>Провиант!D7</f>
        <v>5</v>
      </c>
      <c r="Q7" s="8">
        <f>Энергия!B7</f>
        <v>3</v>
      </c>
      <c r="R7" s="4">
        <f>Энергия!C7</f>
        <v>1</v>
      </c>
      <c r="S7" s="4">
        <f>Энергия!V7</f>
        <v>324</v>
      </c>
      <c r="T7" s="4">
        <f>Энергия!W7</f>
        <v>330</v>
      </c>
      <c r="U7" s="9">
        <f>Энергия!X7</f>
        <v>6</v>
      </c>
      <c r="V7" s="24">
        <f>21+50+209-M7*8</f>
        <v>240</v>
      </c>
      <c r="W7" s="22">
        <f t="shared" si="2"/>
        <v>20</v>
      </c>
      <c r="X7" s="4"/>
      <c r="Y7" s="4">
        <f>128</f>
        <v>128</v>
      </c>
      <c r="Z7" s="4">
        <f>204+19</f>
        <v>223</v>
      </c>
      <c r="AA7" s="4"/>
      <c r="AB7" s="9">
        <f>7+5+12</f>
        <v>24</v>
      </c>
      <c r="AC7" s="76">
        <v>79419206</v>
      </c>
      <c r="AD7" s="85">
        <f t="shared" si="3"/>
        <v>10086239.162</v>
      </c>
      <c r="AE7" s="84">
        <f>N7*Провиант!$B$12+База!O7*Провиант!$C$12</f>
        <v>3231298.5</v>
      </c>
      <c r="AF7" s="24"/>
      <c r="AG7" s="34"/>
      <c r="AH7" s="34">
        <v>0.06</v>
      </c>
      <c r="AI7" s="34">
        <v>0.7</v>
      </c>
      <c r="AJ7" s="34"/>
      <c r="AK7" s="34">
        <v>0.21</v>
      </c>
      <c r="AL7" s="38">
        <v>0.03</v>
      </c>
      <c r="AM7" s="32">
        <f t="shared" si="4"/>
        <v>0</v>
      </c>
    </row>
    <row r="8" spans="1:39" s="3" customFormat="1" ht="21" customHeight="1" x14ac:dyDescent="0.25">
      <c r="A8" s="41" t="s">
        <v>2</v>
      </c>
      <c r="B8" s="2" t="s">
        <v>22</v>
      </c>
      <c r="C8" s="2">
        <v>24</v>
      </c>
      <c r="D8" s="2">
        <v>7</v>
      </c>
      <c r="E8" s="7">
        <v>13</v>
      </c>
      <c r="F8" s="28">
        <f t="shared" si="0"/>
        <v>44</v>
      </c>
      <c r="G8" s="23"/>
      <c r="H8" s="7"/>
      <c r="I8" s="10">
        <v>20</v>
      </c>
      <c r="J8" s="2">
        <v>14</v>
      </c>
      <c r="K8" s="11">
        <v>7</v>
      </c>
      <c r="L8" s="112">
        <f t="shared" si="1"/>
        <v>41</v>
      </c>
      <c r="M8" s="11">
        <v>6</v>
      </c>
      <c r="N8" s="10">
        <f>Провиант!B8</f>
        <v>6</v>
      </c>
      <c r="O8" s="2">
        <f>Провиант!C8</f>
        <v>23</v>
      </c>
      <c r="P8" s="7">
        <f>Провиант!D8</f>
        <v>3</v>
      </c>
      <c r="Q8" s="10">
        <f>Энергия!B8</f>
        <v>1</v>
      </c>
      <c r="R8" s="2">
        <f>Энергия!C8</f>
        <v>2</v>
      </c>
      <c r="S8" s="2">
        <f>Энергия!V8</f>
        <v>306.5</v>
      </c>
      <c r="T8" s="2">
        <f>Энергия!W8</f>
        <v>360</v>
      </c>
      <c r="U8" s="11">
        <f>Энергия!X8</f>
        <v>53.5</v>
      </c>
      <c r="V8" s="23">
        <f>50+125-M8*8</f>
        <v>127</v>
      </c>
      <c r="W8" s="137">
        <f t="shared" si="2"/>
        <v>24</v>
      </c>
      <c r="X8" s="2">
        <f>12+35</f>
        <v>47</v>
      </c>
      <c r="Y8" s="2">
        <f>19+44+77</f>
        <v>140</v>
      </c>
      <c r="Z8" s="2">
        <f>44</f>
        <v>44</v>
      </c>
      <c r="AA8" s="2"/>
      <c r="AB8" s="11">
        <v>5</v>
      </c>
      <c r="AC8" s="75">
        <v>63388546</v>
      </c>
      <c r="AD8" s="83">
        <f t="shared" si="3"/>
        <v>8050345.3420000002</v>
      </c>
      <c r="AE8" s="88">
        <f>N8*Провиант!$B$12+База!O8*Провиант!$C$12</f>
        <v>2154657.7000000002</v>
      </c>
      <c r="AF8" s="23"/>
      <c r="AG8" s="33"/>
      <c r="AH8" s="33">
        <v>0.35</v>
      </c>
      <c r="AI8" s="33">
        <v>0.06</v>
      </c>
      <c r="AJ8" s="33"/>
      <c r="AK8" s="33">
        <v>0.46</v>
      </c>
      <c r="AL8" s="37">
        <v>0.13</v>
      </c>
      <c r="AM8" s="32">
        <f t="shared" si="4"/>
        <v>0</v>
      </c>
    </row>
    <row r="9" spans="1:39" s="5" customFormat="1" ht="21" customHeight="1" x14ac:dyDescent="0.25">
      <c r="A9" s="42" t="s">
        <v>6</v>
      </c>
      <c r="B9" s="4" t="s">
        <v>23</v>
      </c>
      <c r="C9" s="4">
        <v>9</v>
      </c>
      <c r="D9" s="4">
        <v>3</v>
      </c>
      <c r="E9" s="6"/>
      <c r="F9" s="27">
        <f t="shared" si="0"/>
        <v>12</v>
      </c>
      <c r="G9" s="24"/>
      <c r="H9" s="6"/>
      <c r="I9" s="8">
        <v>6</v>
      </c>
      <c r="J9" s="4">
        <v>6</v>
      </c>
      <c r="K9" s="9">
        <v>0</v>
      </c>
      <c r="L9" s="111">
        <f t="shared" si="1"/>
        <v>12</v>
      </c>
      <c r="M9" s="9">
        <v>1</v>
      </c>
      <c r="N9" s="8">
        <f>Провиант!B9</f>
        <v>4</v>
      </c>
      <c r="O9" s="4">
        <f>Провиант!C9</f>
        <v>4</v>
      </c>
      <c r="P9" s="6">
        <f>Провиант!D9</f>
        <v>0</v>
      </c>
      <c r="Q9" s="8">
        <f>Энергия!B9</f>
        <v>2</v>
      </c>
      <c r="R9" s="4">
        <f>Энергия!C9</f>
        <v>0</v>
      </c>
      <c r="S9" s="4">
        <f>Энергия!V9</f>
        <v>82.5</v>
      </c>
      <c r="T9" s="4">
        <f>Энергия!W9</f>
        <v>120</v>
      </c>
      <c r="U9" s="9">
        <f>Энергия!X9</f>
        <v>37.5</v>
      </c>
      <c r="V9" s="24">
        <f>30-M9*8</f>
        <v>22</v>
      </c>
      <c r="W9" s="22">
        <f t="shared" si="2"/>
        <v>4</v>
      </c>
      <c r="X9" s="4"/>
      <c r="Y9" s="4">
        <f>77</f>
        <v>77</v>
      </c>
      <c r="Z9" s="4">
        <f>10+3</f>
        <v>13</v>
      </c>
      <c r="AA9" s="4"/>
      <c r="AB9" s="9">
        <v>8</v>
      </c>
      <c r="AC9" s="76">
        <v>22382937</v>
      </c>
      <c r="AD9" s="85">
        <f t="shared" si="3"/>
        <v>2842632.9989999998</v>
      </c>
      <c r="AE9" s="84">
        <f>N9*Провиант!$B$12+База!O9*Провиант!$C$12</f>
        <v>1261679.6000000001</v>
      </c>
      <c r="AF9" s="24"/>
      <c r="AG9" s="34"/>
      <c r="AH9" s="34">
        <v>0.03</v>
      </c>
      <c r="AI9" s="34">
        <v>0.2</v>
      </c>
      <c r="AJ9" s="34"/>
      <c r="AK9" s="34">
        <v>0.61</v>
      </c>
      <c r="AL9" s="38">
        <v>0.16</v>
      </c>
      <c r="AM9" s="32">
        <f t="shared" si="4"/>
        <v>0</v>
      </c>
    </row>
    <row r="10" spans="1:39" s="3" customFormat="1" ht="21" customHeight="1" x14ac:dyDescent="0.25">
      <c r="A10" s="41" t="s">
        <v>8</v>
      </c>
      <c r="B10" s="2" t="s">
        <v>24</v>
      </c>
      <c r="C10" s="2">
        <v>9</v>
      </c>
      <c r="D10" s="2"/>
      <c r="E10" s="7"/>
      <c r="F10" s="28">
        <f t="shared" si="0"/>
        <v>9</v>
      </c>
      <c r="G10" s="23"/>
      <c r="H10" s="7"/>
      <c r="I10" s="10">
        <v>3</v>
      </c>
      <c r="J10" s="2">
        <v>2</v>
      </c>
      <c r="K10" s="11">
        <v>1</v>
      </c>
      <c r="L10" s="112">
        <f t="shared" si="1"/>
        <v>6</v>
      </c>
      <c r="M10" s="11"/>
      <c r="N10" s="10">
        <f>Провиант!B10</f>
        <v>3</v>
      </c>
      <c r="O10" s="2">
        <f>Провиант!C10</f>
        <v>7</v>
      </c>
      <c r="P10" s="7">
        <f>Провиант!D10</f>
        <v>1</v>
      </c>
      <c r="Q10" s="10">
        <f>Энергия!B10</f>
        <v>1</v>
      </c>
      <c r="R10" s="2">
        <f>Энергия!C10</f>
        <v>0</v>
      </c>
      <c r="S10" s="2">
        <f>Энергия!V10</f>
        <v>51.25</v>
      </c>
      <c r="T10" s="2">
        <f>Энергия!W10</f>
        <v>60</v>
      </c>
      <c r="U10" s="11">
        <f>Энергия!X10</f>
        <v>8.75</v>
      </c>
      <c r="V10" s="23">
        <v>83</v>
      </c>
      <c r="W10" s="137">
        <f t="shared" si="2"/>
        <v>0</v>
      </c>
      <c r="X10" s="2">
        <v>10</v>
      </c>
      <c r="Y10" s="2">
        <v>35</v>
      </c>
      <c r="Z10" s="2"/>
      <c r="AA10" s="2">
        <v>112</v>
      </c>
      <c r="AB10" s="11"/>
      <c r="AC10" s="75">
        <v>20541063</v>
      </c>
      <c r="AD10" s="83">
        <f t="shared" si="3"/>
        <v>2608715.0010000002</v>
      </c>
      <c r="AE10" s="88">
        <f>N10*Провиант!$B$12+База!O10*Провиант!$C$12</f>
        <v>1007939.3</v>
      </c>
      <c r="AF10" s="23"/>
      <c r="AG10" s="33">
        <v>0.05</v>
      </c>
      <c r="AH10" s="33">
        <v>0.12</v>
      </c>
      <c r="AI10" s="33">
        <v>0.44</v>
      </c>
      <c r="AJ10" s="33"/>
      <c r="AK10" s="33">
        <v>0.35</v>
      </c>
      <c r="AL10" s="37">
        <v>0.04</v>
      </c>
      <c r="AM10" s="32">
        <f t="shared" si="4"/>
        <v>0</v>
      </c>
    </row>
    <row r="11" spans="1:39" s="5" customFormat="1" ht="21" customHeight="1" thickBot="1" x14ac:dyDescent="0.3">
      <c r="A11" s="43" t="s">
        <v>3</v>
      </c>
      <c r="B11" s="13" t="s">
        <v>25</v>
      </c>
      <c r="C11" s="13">
        <v>9</v>
      </c>
      <c r="D11" s="13"/>
      <c r="E11" s="21"/>
      <c r="F11" s="29">
        <f t="shared" si="0"/>
        <v>9</v>
      </c>
      <c r="G11" s="25"/>
      <c r="H11" s="21"/>
      <c r="I11" s="12">
        <v>3</v>
      </c>
      <c r="J11" s="13">
        <v>2</v>
      </c>
      <c r="K11" s="14">
        <v>0</v>
      </c>
      <c r="L11" s="113">
        <f t="shared" si="1"/>
        <v>5</v>
      </c>
      <c r="M11" s="14"/>
      <c r="N11" s="12">
        <f>Провиант!B11</f>
        <v>15</v>
      </c>
      <c r="O11" s="13">
        <f>Провиант!C11</f>
        <v>20</v>
      </c>
      <c r="P11" s="21">
        <f>Провиант!D11</f>
        <v>5</v>
      </c>
      <c r="Q11" s="12">
        <f>Энергия!B11</f>
        <v>1</v>
      </c>
      <c r="R11" s="13">
        <f>Энергия!C11</f>
        <v>0</v>
      </c>
      <c r="S11" s="13">
        <f>Энергия!V11</f>
        <v>55.25</v>
      </c>
      <c r="T11" s="13">
        <f>Энергия!W11</f>
        <v>60</v>
      </c>
      <c r="U11" s="14">
        <f>Энергия!X11</f>
        <v>4.75</v>
      </c>
      <c r="V11" s="25">
        <v>105</v>
      </c>
      <c r="W11" s="25">
        <f t="shared" si="2"/>
        <v>0</v>
      </c>
      <c r="X11" s="13"/>
      <c r="Y11" s="13"/>
      <c r="Z11" s="13">
        <f>18</f>
        <v>18</v>
      </c>
      <c r="AA11" s="13"/>
      <c r="AB11" s="14"/>
      <c r="AC11" s="77">
        <v>17932651</v>
      </c>
      <c r="AD11" s="86">
        <f t="shared" si="3"/>
        <v>2277446.6770000001</v>
      </c>
      <c r="AE11" s="87">
        <f>N11*Провиант!$B$12+База!O11*Провиант!$C$12</f>
        <v>4808398</v>
      </c>
      <c r="AF11" s="25"/>
      <c r="AG11" s="35"/>
      <c r="AH11" s="35">
        <v>0.05</v>
      </c>
      <c r="AI11" s="35">
        <v>0.62</v>
      </c>
      <c r="AJ11" s="35"/>
      <c r="AK11" s="35">
        <v>0.18</v>
      </c>
      <c r="AL11" s="39">
        <v>0.15</v>
      </c>
      <c r="AM11" s="32">
        <f t="shared" si="4"/>
        <v>0</v>
      </c>
    </row>
    <row r="12" spans="1:39" x14ac:dyDescent="0.25">
      <c r="AC12" s="45"/>
      <c r="AD12" s="45">
        <f>SUM(AD3:AD11)</f>
        <v>61809952.072000004</v>
      </c>
      <c r="AE12" s="45"/>
    </row>
    <row r="13" spans="1:39" x14ac:dyDescent="0.25">
      <c r="AC13" s="45"/>
    </row>
    <row r="21" spans="12:23" x14ac:dyDescent="0.25">
      <c r="L21">
        <f>5000000/350</f>
        <v>14285.714285714286</v>
      </c>
      <c r="N21" s="50">
        <f>L21*1500*2.5/2000</f>
        <v>26785.714285714286</v>
      </c>
      <c r="O21" s="50"/>
      <c r="P21" s="50"/>
      <c r="Q21" s="50"/>
      <c r="R21" s="50"/>
      <c r="S21" s="50"/>
      <c r="T21" s="50"/>
      <c r="U21" s="50"/>
      <c r="V21" s="45">
        <f>N21*12</f>
        <v>321428.57142857142</v>
      </c>
      <c r="W21" s="45"/>
    </row>
  </sheetData>
  <sortState xmlns:xlrd2="http://schemas.microsoft.com/office/spreadsheetml/2017/richdata2" ref="A3:K11">
    <sortCondition ref="A3:A11"/>
  </sortState>
  <mergeCells count="11">
    <mergeCell ref="A1:A2"/>
    <mergeCell ref="G1:G2"/>
    <mergeCell ref="H1:H2"/>
    <mergeCell ref="AF1:AM1"/>
    <mergeCell ref="C1:F1"/>
    <mergeCell ref="V1:AB1"/>
    <mergeCell ref="B1:B2"/>
    <mergeCell ref="AC1:AC2"/>
    <mergeCell ref="AD1:AE1"/>
    <mergeCell ref="I1:P1"/>
    <mergeCell ref="Q1:U1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E65-EAF7-411E-AD3B-DE11540F6651}">
  <sheetPr codeName="Лист2"/>
  <dimension ref="A1:AA159"/>
  <sheetViews>
    <sheetView zoomScaleNormal="100" workbookViewId="0">
      <selection activeCell="I12" sqref="I12"/>
    </sheetView>
  </sheetViews>
  <sheetFormatPr defaultRowHeight="15" x14ac:dyDescent="0.25"/>
  <cols>
    <col min="1" max="1" width="14" customWidth="1"/>
    <col min="2" max="2" width="9.7109375" customWidth="1"/>
    <col min="3" max="3" width="12.85546875" customWidth="1"/>
    <col min="4" max="4" width="10.7109375" bestFit="1" customWidth="1"/>
    <col min="5" max="5" width="14.7109375" bestFit="1" customWidth="1"/>
    <col min="6" max="7" width="14.7109375" customWidth="1"/>
    <col min="8" max="8" width="14.5703125" bestFit="1" customWidth="1"/>
    <col min="9" max="9" width="14.5703125" customWidth="1"/>
    <col min="10" max="10" width="11.5703125" bestFit="1" customWidth="1"/>
    <col min="11" max="11" width="14.85546875" customWidth="1"/>
    <col min="12" max="12" width="12.85546875" bestFit="1" customWidth="1"/>
    <col min="13" max="13" width="8.5703125" bestFit="1" customWidth="1"/>
    <col min="14" max="14" width="13" customWidth="1"/>
    <col min="15" max="15" width="12.7109375" bestFit="1" customWidth="1"/>
    <col min="16" max="16" width="10.5703125" bestFit="1" customWidth="1"/>
    <col min="17" max="17" width="12.7109375" customWidth="1"/>
    <col min="18" max="18" width="15.140625" style="57" customWidth="1"/>
    <col min="19" max="19" width="14" customWidth="1"/>
    <col min="20" max="20" width="14.140625" customWidth="1"/>
    <col min="21" max="21" width="16.7109375" customWidth="1"/>
    <col min="25" max="25" width="11.42578125" style="57" bestFit="1" customWidth="1"/>
    <col min="26" max="27" width="9.140625" style="57"/>
  </cols>
  <sheetData>
    <row r="1" spans="1:24" ht="15.75" thickBot="1" x14ac:dyDescent="0.3">
      <c r="A1" s="269" t="s">
        <v>9</v>
      </c>
      <c r="B1" s="267" t="s">
        <v>47</v>
      </c>
      <c r="C1" s="267" t="s">
        <v>89</v>
      </c>
      <c r="D1" s="267" t="s">
        <v>57</v>
      </c>
      <c r="E1" s="259" t="s">
        <v>43</v>
      </c>
      <c r="F1" s="261" t="s">
        <v>92</v>
      </c>
      <c r="G1" s="266"/>
      <c r="H1" s="266"/>
      <c r="I1" s="262"/>
    </row>
    <row r="2" spans="1:24" ht="39" thickBot="1" x14ac:dyDescent="0.3">
      <c r="A2" s="270"/>
      <c r="B2" s="268"/>
      <c r="C2" s="268"/>
      <c r="D2" s="268"/>
      <c r="E2" s="260"/>
      <c r="F2" s="62" t="s">
        <v>61</v>
      </c>
      <c r="G2" s="63" t="s">
        <v>49</v>
      </c>
      <c r="H2" s="108" t="s">
        <v>45</v>
      </c>
      <c r="I2" s="108" t="s">
        <v>48</v>
      </c>
      <c r="L2" s="78" t="s">
        <v>56</v>
      </c>
      <c r="M2" s="78" t="s">
        <v>57</v>
      </c>
      <c r="N2" s="78" t="s">
        <v>61</v>
      </c>
      <c r="O2" s="78" t="s">
        <v>49</v>
      </c>
      <c r="P2" s="78" t="s">
        <v>45</v>
      </c>
      <c r="Q2" s="78" t="s">
        <v>48</v>
      </c>
      <c r="R2" s="78" t="s">
        <v>60</v>
      </c>
      <c r="S2" s="78" t="s">
        <v>99</v>
      </c>
    </row>
    <row r="3" spans="1:24" ht="15.75" customHeight="1" x14ac:dyDescent="0.25">
      <c r="A3" s="67" t="s">
        <v>5</v>
      </c>
      <c r="B3" s="68">
        <v>3</v>
      </c>
      <c r="C3" s="68">
        <v>3</v>
      </c>
      <c r="D3" s="68"/>
      <c r="E3" s="54">
        <f>База!AC3</f>
        <v>18846379</v>
      </c>
      <c r="F3" s="54">
        <f>(H3+I3)*2</f>
        <v>1892519.4</v>
      </c>
      <c r="G3" s="104">
        <f t="shared" ref="G3:G11" si="0">E3*127/12000</f>
        <v>199457.51108333335</v>
      </c>
      <c r="H3" s="54">
        <f>B3*$B$12</f>
        <v>900000</v>
      </c>
      <c r="I3" s="54">
        <f>C3*$C$12</f>
        <v>46259.7</v>
      </c>
      <c r="J3" s="110">
        <f>H3+I3*12</f>
        <v>1455116.4</v>
      </c>
      <c r="K3" s="109">
        <f>G3*12</f>
        <v>2393490.1330000004</v>
      </c>
      <c r="L3" s="79" t="s">
        <v>5</v>
      </c>
      <c r="M3" s="80">
        <f>SUMIF($A$3:$A$11,$L$3,D$3:D$11)</f>
        <v>0</v>
      </c>
      <c r="N3" s="80">
        <f>SUMIF($A$3:$A$11,$L$3,F$3:F$11)</f>
        <v>1892519.4</v>
      </c>
      <c r="O3" s="80">
        <f>SUMIF($A$3:$A$11,$L$3,G$3:G$11)</f>
        <v>199457.51108333335</v>
      </c>
      <c r="P3" s="80">
        <f>SUMIF($A$3:$A$11,$L$3,H$3:H$11)</f>
        <v>900000</v>
      </c>
      <c r="Q3" s="80">
        <f>SUMIF($A$3:$A$11,$L$3,I$3:I$11)</f>
        <v>46259.7</v>
      </c>
      <c r="R3" s="126">
        <v>0.7</v>
      </c>
      <c r="S3" s="126">
        <f>IF(SUMIF($A$3:$A$11,$L$3,Энергия!Y3:Y11)&lt;1,(1-SUMIF($A$3:$A$11,$L$3,Энергия!Y3:Y11))*-0.5,0)</f>
        <v>-0.18992248062015504</v>
      </c>
    </row>
    <row r="4" spans="1:24" x14ac:dyDescent="0.25">
      <c r="A4" s="64" t="s">
        <v>0</v>
      </c>
      <c r="B4" s="69">
        <v>5</v>
      </c>
      <c r="C4" s="69">
        <v>10</v>
      </c>
      <c r="D4" s="69"/>
      <c r="E4" s="48">
        <f>База!AC4</f>
        <v>75685389</v>
      </c>
      <c r="F4" s="48">
        <f>(H4+I4)*2</f>
        <v>3308398</v>
      </c>
      <c r="G4" s="105">
        <f t="shared" si="0"/>
        <v>801003.70024999999</v>
      </c>
      <c r="H4" s="48">
        <f t="shared" ref="H4:H11" si="1">B4*$B$12</f>
        <v>1500000</v>
      </c>
      <c r="I4" s="48">
        <f t="shared" ref="I4:I11" si="2">C4*$C$12</f>
        <v>154199</v>
      </c>
      <c r="J4" s="110">
        <f t="shared" ref="J4:J11" si="3">H4+I4*12</f>
        <v>3350388</v>
      </c>
      <c r="K4" s="109">
        <f>G4*12</f>
        <v>9612044.4030000009</v>
      </c>
    </row>
    <row r="5" spans="1:24" x14ac:dyDescent="0.25">
      <c r="A5" s="65" t="s">
        <v>4</v>
      </c>
      <c r="B5" s="70">
        <v>8</v>
      </c>
      <c r="C5" s="70">
        <v>8</v>
      </c>
      <c r="D5" s="70">
        <v>2</v>
      </c>
      <c r="E5" s="46">
        <f>База!AC5</f>
        <v>65982200</v>
      </c>
      <c r="F5" s="46">
        <f>(H5+I5)*2</f>
        <v>5046718.4000000004</v>
      </c>
      <c r="G5" s="106">
        <f t="shared" si="0"/>
        <v>698311.6166666667</v>
      </c>
      <c r="H5" s="46">
        <f t="shared" si="1"/>
        <v>2400000</v>
      </c>
      <c r="I5" s="46">
        <f t="shared" si="2"/>
        <v>123359.2</v>
      </c>
      <c r="J5" s="110">
        <f t="shared" si="3"/>
        <v>3880310.4</v>
      </c>
      <c r="K5" s="109">
        <f t="shared" ref="K5:K11" si="4">G5*12</f>
        <v>8379739.4000000004</v>
      </c>
      <c r="Q5" s="133">
        <f>Q3+Q3*S3</f>
        <v>37473.943023255808</v>
      </c>
      <c r="S5" s="132"/>
    </row>
    <row r="6" spans="1:24" x14ac:dyDescent="0.25">
      <c r="A6" s="64" t="s">
        <v>1</v>
      </c>
      <c r="B6" s="69">
        <v>5</v>
      </c>
      <c r="C6" s="69">
        <v>20</v>
      </c>
      <c r="D6" s="69"/>
      <c r="E6" s="48">
        <f>База!AC6</f>
        <v>122514165</v>
      </c>
      <c r="F6" s="48">
        <f t="shared" ref="F6:F11" si="5">(H6+I6)*2</f>
        <v>3616796</v>
      </c>
      <c r="G6" s="105">
        <f t="shared" si="0"/>
        <v>1296608.2462500001</v>
      </c>
      <c r="H6" s="48">
        <f t="shared" si="1"/>
        <v>1500000</v>
      </c>
      <c r="I6" s="48">
        <f t="shared" si="2"/>
        <v>308398</v>
      </c>
      <c r="J6" s="110">
        <f t="shared" si="3"/>
        <v>5200776</v>
      </c>
      <c r="K6" s="109">
        <f t="shared" si="4"/>
        <v>15559298.955000002</v>
      </c>
    </row>
    <row r="7" spans="1:24" ht="30" x14ac:dyDescent="0.25">
      <c r="A7" s="65" t="s">
        <v>7</v>
      </c>
      <c r="B7" s="70">
        <v>10</v>
      </c>
      <c r="C7" s="70">
        <v>15</v>
      </c>
      <c r="D7" s="70">
        <v>5</v>
      </c>
      <c r="E7" s="46">
        <f>База!AC7</f>
        <v>79419206</v>
      </c>
      <c r="F7" s="46">
        <f t="shared" si="5"/>
        <v>6462597</v>
      </c>
      <c r="G7" s="106">
        <f t="shared" si="0"/>
        <v>840519.93016666663</v>
      </c>
      <c r="H7" s="46">
        <f t="shared" si="1"/>
        <v>3000000</v>
      </c>
      <c r="I7" s="46">
        <f t="shared" si="2"/>
        <v>231298.5</v>
      </c>
      <c r="J7" s="110">
        <f t="shared" si="3"/>
        <v>5775582</v>
      </c>
      <c r="K7" s="109">
        <f t="shared" si="4"/>
        <v>10086239.162</v>
      </c>
    </row>
    <row r="8" spans="1:24" x14ac:dyDescent="0.25">
      <c r="A8" s="64" t="s">
        <v>2</v>
      </c>
      <c r="B8" s="69">
        <v>6</v>
      </c>
      <c r="C8" s="69">
        <v>23</v>
      </c>
      <c r="D8" s="69">
        <v>3</v>
      </c>
      <c r="E8" s="48">
        <f>База!AC8</f>
        <v>63388546</v>
      </c>
      <c r="F8" s="48">
        <f t="shared" si="5"/>
        <v>4309315.4000000004</v>
      </c>
      <c r="G8" s="105">
        <f t="shared" si="0"/>
        <v>670862.11183333339</v>
      </c>
      <c r="H8" s="48">
        <f t="shared" si="1"/>
        <v>1800000</v>
      </c>
      <c r="I8" s="48">
        <f t="shared" si="2"/>
        <v>354657.7</v>
      </c>
      <c r="J8" s="110">
        <f t="shared" si="3"/>
        <v>6055892.4000000004</v>
      </c>
      <c r="K8" s="109">
        <f t="shared" si="4"/>
        <v>8050345.3420000002</v>
      </c>
    </row>
    <row r="9" spans="1:24" x14ac:dyDescent="0.25">
      <c r="A9" s="65" t="s">
        <v>6</v>
      </c>
      <c r="B9" s="70">
        <v>4</v>
      </c>
      <c r="C9" s="70">
        <v>4</v>
      </c>
      <c r="D9" s="70"/>
      <c r="E9" s="46">
        <f>База!AC9</f>
        <v>22382937</v>
      </c>
      <c r="F9" s="46">
        <f t="shared" si="5"/>
        <v>2523359.2000000002</v>
      </c>
      <c r="G9" s="106">
        <f t="shared" si="0"/>
        <v>236886.08325</v>
      </c>
      <c r="H9" s="46">
        <f t="shared" si="1"/>
        <v>1200000</v>
      </c>
      <c r="I9" s="46">
        <f t="shared" si="2"/>
        <v>61679.6</v>
      </c>
      <c r="J9" s="110">
        <f t="shared" si="3"/>
        <v>1940155.2</v>
      </c>
      <c r="K9" s="109">
        <f t="shared" si="4"/>
        <v>2842632.9989999998</v>
      </c>
    </row>
    <row r="10" spans="1:24" x14ac:dyDescent="0.25">
      <c r="A10" s="64" t="s">
        <v>8</v>
      </c>
      <c r="B10" s="69">
        <v>3</v>
      </c>
      <c r="C10" s="69">
        <v>7</v>
      </c>
      <c r="D10" s="69">
        <v>1</v>
      </c>
      <c r="E10" s="48">
        <f>База!AC10</f>
        <v>20541063</v>
      </c>
      <c r="F10" s="48">
        <f t="shared" si="5"/>
        <v>2015878.6</v>
      </c>
      <c r="G10" s="105">
        <f t="shared" si="0"/>
        <v>217392.91675</v>
      </c>
      <c r="H10" s="48">
        <f t="shared" si="1"/>
        <v>900000</v>
      </c>
      <c r="I10" s="48">
        <f t="shared" si="2"/>
        <v>107939.3</v>
      </c>
      <c r="J10" s="110">
        <f t="shared" si="3"/>
        <v>2195271.6</v>
      </c>
      <c r="K10" s="109">
        <f t="shared" si="4"/>
        <v>2608715.0010000002</v>
      </c>
    </row>
    <row r="11" spans="1:24" ht="15.75" thickBot="1" x14ac:dyDescent="0.3">
      <c r="A11" s="66" t="s">
        <v>3</v>
      </c>
      <c r="B11" s="71">
        <v>15</v>
      </c>
      <c r="C11" s="71">
        <v>20</v>
      </c>
      <c r="D11" s="71">
        <v>5</v>
      </c>
      <c r="E11" s="49">
        <f>База!AC11</f>
        <v>17932651</v>
      </c>
      <c r="F11" s="49">
        <f t="shared" si="5"/>
        <v>9616796</v>
      </c>
      <c r="G11" s="107">
        <f t="shared" si="0"/>
        <v>189787.22308333335</v>
      </c>
      <c r="H11" s="49">
        <f t="shared" si="1"/>
        <v>4500000</v>
      </c>
      <c r="I11" s="49">
        <f t="shared" si="2"/>
        <v>308398</v>
      </c>
      <c r="J11" s="110">
        <f t="shared" si="3"/>
        <v>8200776</v>
      </c>
      <c r="K11" s="109">
        <f t="shared" si="4"/>
        <v>2277446.6770000001</v>
      </c>
    </row>
    <row r="12" spans="1:24" x14ac:dyDescent="0.25">
      <c r="B12" s="103">
        <v>300000</v>
      </c>
      <c r="C12" s="103">
        <f>((26786+24000+52000)*0.15)+2</f>
        <v>15419.9</v>
      </c>
      <c r="D12" s="45"/>
      <c r="J12" s="45">
        <f>SUM(J3:J11)</f>
        <v>38054268</v>
      </c>
      <c r="K12" s="45">
        <f>SUM(K3:K11)</f>
        <v>61809952.072000004</v>
      </c>
    </row>
    <row r="13" spans="1:24" x14ac:dyDescent="0.25">
      <c r="C13" s="45">
        <f>C12*12</f>
        <v>185038.8</v>
      </c>
    </row>
    <row r="14" spans="1:24" x14ac:dyDescent="0.25">
      <c r="C14" s="45">
        <f>3855</f>
        <v>3855</v>
      </c>
      <c r="D14" s="45"/>
    </row>
    <row r="15" spans="1:24" ht="45" x14ac:dyDescent="0.25">
      <c r="B15" s="57" t="s">
        <v>51</v>
      </c>
      <c r="C15" s="57"/>
      <c r="D15" s="57"/>
      <c r="E15" s="59">
        <f>E3/1000</f>
        <v>18846.379000000001</v>
      </c>
      <c r="F15" s="57"/>
      <c r="G15" s="56" t="s">
        <v>50</v>
      </c>
      <c r="H15" s="56" t="s">
        <v>52</v>
      </c>
      <c r="I15" s="56" t="s">
        <v>58</v>
      </c>
      <c r="J15" s="56" t="s">
        <v>55</v>
      </c>
      <c r="K15" s="56" t="s">
        <v>53</v>
      </c>
      <c r="L15" s="56" t="s">
        <v>54</v>
      </c>
      <c r="R15" s="57" t="s">
        <v>96</v>
      </c>
      <c r="T15" s="56" t="s">
        <v>50</v>
      </c>
      <c r="U15" s="56" t="s">
        <v>52</v>
      </c>
      <c r="W15" s="57" t="s">
        <v>98</v>
      </c>
      <c r="X15" s="57" t="s">
        <v>97</v>
      </c>
    </row>
    <row r="16" spans="1:24" x14ac:dyDescent="0.25">
      <c r="A16" t="str">
        <f>IF(M16=0,"АВГУСТ","")</f>
        <v/>
      </c>
      <c r="B16" s="57">
        <v>1</v>
      </c>
      <c r="C16" s="57"/>
      <c r="D16" s="57"/>
      <c r="E16" s="59">
        <f>E15*127/48</f>
        <v>49864.377770833329</v>
      </c>
      <c r="F16" s="58"/>
      <c r="G16" s="59">
        <f>Q3+N3-O3</f>
        <v>1739321.5889166666</v>
      </c>
      <c r="H16" s="60">
        <f t="shared" ref="H16:H63" si="6">G16/$O$3</f>
        <v>8.720261169758496</v>
      </c>
      <c r="I16" s="74">
        <f>G16/$O$3*IF(SUM($R$3,0.01*$M$3)&gt;0.99,0.99,$R$3+0.01*$M$3)</f>
        <v>6.1041828188309468</v>
      </c>
      <c r="J16" s="57" t="str">
        <f ca="1">_xlfn.IFS(AND(K16&gt;0,K16&lt;34),"НЕУРОЖАЙ",AND(L16&gt;0,L16&lt;11),"РЕКОРД",NOT(M16=0),"",AND(K16&gt;33,L16&gt;10),"ОБЫЧНЫЙ")</f>
        <v/>
      </c>
      <c r="K16" s="57" t="str">
        <f ca="1">IF(M16=0,RANDBETWEEN(1,100),"")</f>
        <v/>
      </c>
      <c r="L16" t="str">
        <f ca="1">IF(AND(M16=0,K16&gt;33),RANDBETWEEN(1,100),"")</f>
        <v/>
      </c>
      <c r="M16" s="61">
        <f>MOD(B16,8)</f>
        <v>1</v>
      </c>
      <c r="R16" s="57">
        <v>1</v>
      </c>
      <c r="T16" s="59">
        <f>Q3/4+N3-O3/4</f>
        <v>1854219.9472291665</v>
      </c>
      <c r="U16" s="60">
        <f>T16/$O$3</f>
        <v>9.2963154767055798</v>
      </c>
      <c r="W16">
        <f>MOD(R16,4)</f>
        <v>1</v>
      </c>
      <c r="X16">
        <f>MOD(R16,32)</f>
        <v>1</v>
      </c>
    </row>
    <row r="17" spans="1:24" x14ac:dyDescent="0.25">
      <c r="A17" t="str">
        <f t="shared" ref="A17:A63" si="7">IF(M17=0,"АВГУСТ","")</f>
        <v/>
      </c>
      <c r="B17" s="57">
        <v>2</v>
      </c>
      <c r="C17" s="57"/>
      <c r="D17" s="57"/>
      <c r="E17" s="59"/>
      <c r="F17" s="58"/>
      <c r="G17" s="59" cm="1">
        <f t="array" ref="G17">IF(G16&gt;0,G16*(IF(SUM($R$3,0.01*$M$3)&gt;0.99,0.99,$R$3+0.01*$M$3)),G16)+(($Q$3+$Q$3*S3)+IF(M17=0,$P$3*_xlfn.IFS(J17="НЕУРОЖАЙ",0.25,J17="ОБЫЧНЫЙ",1,J17="РЕКОРД",1.25,J17="",1),0))-$O$3</f>
        <v>1055541.544181589</v>
      </c>
      <c r="H17" s="60">
        <f t="shared" si="6"/>
        <v>5.2920621462110988</v>
      </c>
      <c r="I17" s="74">
        <f t="shared" ref="I17:I63" si="8">G17/$O$3*IF(SUM($R$3,0.01*$M$3)&gt;0.99,0.99,$R$3+0.01*$M$3)</f>
        <v>3.7044435023477691</v>
      </c>
      <c r="J17" s="57" t="str">
        <f t="shared" ref="J17:J62" ca="1" si="9">_xlfn.IFS(AND(K17&gt;0,K17&lt;34),"НЕУРОЖАЙ",AND(L17&gt;0,L17&lt;11),"РЕКОРД",NOT(M17=0),"",AND(K17&gt;33,L17&gt;10),"ОБЫЧНЫЙ")</f>
        <v/>
      </c>
      <c r="K17" s="57" t="str">
        <f t="shared" ref="K17:K31" ca="1" si="10">IF(M17=0,RANDBETWEEN(1,100),"")</f>
        <v/>
      </c>
      <c r="L17" t="str">
        <f t="shared" ref="L17:L31" ca="1" si="11">IF(AND(M17=0,K17&gt;33),RANDBETWEEN(1,100),"")</f>
        <v/>
      </c>
      <c r="M17" s="61">
        <f t="shared" ref="M17:M63" si="12">MOD(B17,8)</f>
        <v>2</v>
      </c>
      <c r="R17" s="57">
        <v>2</v>
      </c>
      <c r="T17" s="59">
        <f>IF(AND(T16&gt;0,W17=0),T16*(IF(SUM($R$3,0.01*$M$3)&gt;0.99,0.99,$R$3+0.01*$M$3)),T16)+((($Q$3+$Q$3*$S$3)/4)+(IF(X17=0,$P$3*_xlfn.IFS(Y17="НЕУРОЖАЙ",0.25,Y17="ОБЫЧНЫЙ",1,Y17="РЕКОРД",1.25,Y17="",1),0)))-($O$3/4)</f>
        <v>1813724.0552141471</v>
      </c>
      <c r="U17" s="60">
        <f t="shared" ref="U17:U80" si="13">T17/$O$3</f>
        <v>9.0932853085506178</v>
      </c>
      <c r="W17">
        <f t="shared" ref="W17:W80" si="14">MOD(R17,4)</f>
        <v>2</v>
      </c>
      <c r="X17">
        <f t="shared" ref="X17:X80" si="15">MOD(R17,32)</f>
        <v>2</v>
      </c>
    </row>
    <row r="18" spans="1:24" x14ac:dyDescent="0.25">
      <c r="A18" t="str">
        <f t="shared" si="7"/>
        <v/>
      </c>
      <c r="B18" s="57">
        <v>3</v>
      </c>
      <c r="C18" s="57"/>
      <c r="D18" s="57"/>
      <c r="E18" s="58"/>
      <c r="F18" s="58"/>
      <c r="G18" s="59" cm="1">
        <f t="array" ref="G18">IF(G17&gt;0,G17*(IF(SUM($R$3,0.01*$M$3)&gt;0.99,0.99,$R$3+0.01*$M$3)),G17)+(($Q$3+$Q$3*S4)+IF(M18=0,$P$3*_xlfn.IFS(J18="НЕУРОЖАЙ",0.25,J18="ОБЫЧНЫЙ",1,J18="РЕКОРД",1.25,J18="",1),0))-$O$3</f>
        <v>585681.26984377881</v>
      </c>
      <c r="H18" s="60">
        <f t="shared" si="6"/>
        <v>2.9363710930849889</v>
      </c>
      <c r="I18" s="74">
        <f t="shared" si="8"/>
        <v>2.0554597651594921</v>
      </c>
      <c r="J18" s="57" t="str">
        <f t="shared" ca="1" si="9"/>
        <v/>
      </c>
      <c r="K18" s="57" t="str">
        <f t="shared" ca="1" si="10"/>
        <v/>
      </c>
      <c r="L18" t="str">
        <f t="shared" ca="1" si="11"/>
        <v/>
      </c>
      <c r="M18" s="61">
        <f t="shared" si="12"/>
        <v>3</v>
      </c>
      <c r="R18" s="57">
        <v>3</v>
      </c>
      <c r="T18" s="59">
        <f t="shared" ref="T18:T81" si="16">IF(AND(T17&gt;0,W18=0),T17*(IF(SUM($R$3,0.01*$M$3)&gt;0.99,0.99,$R$3+0.01*$M$3)),T17)+((($Q$3+$Q$3*$S$3)/4)+(IF(X18=0,$P$3*_xlfn.IFS(Y18="НЕУРОЖАЙ",0.25,Y18="ОБЫЧНЫЙ",1,Y18="РЕКОРД",1.25,Y18="",1),0)))-($O$3/4)</f>
        <v>1773228.1631991277</v>
      </c>
      <c r="U18" s="60">
        <f t="shared" si="13"/>
        <v>8.8902551403956558</v>
      </c>
      <c r="W18">
        <f t="shared" si="14"/>
        <v>3</v>
      </c>
      <c r="X18">
        <f t="shared" si="15"/>
        <v>3</v>
      </c>
    </row>
    <row r="19" spans="1:24" x14ac:dyDescent="0.25">
      <c r="A19" t="str">
        <f t="shared" si="7"/>
        <v/>
      </c>
      <c r="B19" s="57">
        <v>4</v>
      </c>
      <c r="C19" s="57"/>
      <c r="D19" s="57"/>
      <c r="E19" s="58"/>
      <c r="F19" s="58"/>
      <c r="G19" s="59" cm="1">
        <f t="array" ref="G19">IF(G18&gt;0,G18*(IF(SUM($R$3,0.01*$M$3)&gt;0.99,0.99,$R$3+0.01*$M$3)),G18)+(($Q$3+$Q$3*S5)+IF(M19=0,$P$3*_xlfn.IFS(J19="НЕУРОЖАЙ",0.25,J19="ОБЫЧНЫЙ",1,J19="РЕКОРД",1.25,J19="",1),0))-$O$3</f>
        <v>256779.07780731178</v>
      </c>
      <c r="H19" s="60">
        <f t="shared" si="6"/>
        <v>1.2873873558967126</v>
      </c>
      <c r="I19" s="74">
        <f t="shared" si="8"/>
        <v>0.9011711491276988</v>
      </c>
      <c r="J19" s="57" t="str">
        <f t="shared" ca="1" si="9"/>
        <v/>
      </c>
      <c r="K19" s="57" t="str">
        <f t="shared" ca="1" si="10"/>
        <v/>
      </c>
      <c r="L19" t="str">
        <f t="shared" ca="1" si="11"/>
        <v/>
      </c>
      <c r="M19" s="61">
        <f t="shared" si="12"/>
        <v>4</v>
      </c>
      <c r="R19" s="57">
        <v>4</v>
      </c>
      <c r="T19" s="59">
        <f t="shared" si="16"/>
        <v>1200763.8222243697</v>
      </c>
      <c r="U19" s="60">
        <f t="shared" si="13"/>
        <v>6.0201484301219956</v>
      </c>
      <c r="V19">
        <f>IF(W19=0,V15+1,"")</f>
        <v>1</v>
      </c>
      <c r="W19">
        <f t="shared" si="14"/>
        <v>0</v>
      </c>
      <c r="X19">
        <f t="shared" si="15"/>
        <v>4</v>
      </c>
    </row>
    <row r="20" spans="1:24" x14ac:dyDescent="0.25">
      <c r="A20" t="str">
        <f t="shared" si="7"/>
        <v/>
      </c>
      <c r="B20" s="57">
        <v>5</v>
      </c>
      <c r="C20" s="57"/>
      <c r="D20" s="57"/>
      <c r="E20" s="58"/>
      <c r="F20" s="58"/>
      <c r="G20" s="59" cm="1">
        <f t="array" ref="G20">IF(G19&gt;0,G19*(IF(SUM($R$3,0.01*$M$3)&gt;0.99,0.99,$R$3+0.01*$M$3)),G19)+(($Q$3+$Q$3*S6)+IF(M20=0,$P$3*_xlfn.IFS(J20="НЕУРОЖАЙ",0.25,J20="ОБЫЧНЫЙ",1,J20="РЕКОРД",1.25,J20="",1),0))-$O$3</f>
        <v>26547.543381784868</v>
      </c>
      <c r="H20" s="60">
        <f t="shared" si="6"/>
        <v>0.13309873986491944</v>
      </c>
      <c r="I20" s="74">
        <f t="shared" si="8"/>
        <v>9.3169117905443605E-2</v>
      </c>
      <c r="J20" s="57" t="str">
        <f t="shared" ca="1" si="9"/>
        <v/>
      </c>
      <c r="K20" s="57" t="str">
        <f t="shared" ca="1" si="10"/>
        <v/>
      </c>
      <c r="L20" t="str">
        <f t="shared" ca="1" si="11"/>
        <v/>
      </c>
      <c r="M20" s="61">
        <f t="shared" si="12"/>
        <v>5</v>
      </c>
      <c r="R20" s="57">
        <v>5</v>
      </c>
      <c r="T20" s="59">
        <f t="shared" si="16"/>
        <v>1160267.9302093503</v>
      </c>
      <c r="U20" s="60">
        <f t="shared" si="13"/>
        <v>5.8171182619670327</v>
      </c>
      <c r="V20" t="str">
        <f t="shared" ref="V20:V83" si="17">IF(W20=0,V16+1,"")</f>
        <v/>
      </c>
      <c r="W20">
        <f t="shared" si="14"/>
        <v>1</v>
      </c>
      <c r="X20">
        <f t="shared" si="15"/>
        <v>5</v>
      </c>
    </row>
    <row r="21" spans="1:24" x14ac:dyDescent="0.25">
      <c r="A21" t="str">
        <f t="shared" si="7"/>
        <v/>
      </c>
      <c r="B21" s="57">
        <v>6</v>
      </c>
      <c r="C21" s="57"/>
      <c r="D21" s="57"/>
      <c r="E21" s="58"/>
      <c r="F21" s="58"/>
      <c r="G21" s="59" cm="1">
        <f t="array" ref="G21">IF(G20&gt;0,G20*(IF(SUM($R$3,0.01*$M$3)&gt;0.99,0.99,$R$3+0.01*$M$3)),G20)+(($Q$3+$Q$3*S7)+IF(M21=0,$P$3*_xlfn.IFS(J21="НЕУРОЖАЙ",0.25,J21="ОБЫЧНЫЙ",1,J21="РЕКОРД",1.25,J21="",1),0))-$O$3</f>
        <v>-134614.53071608394</v>
      </c>
      <c r="H21" s="60">
        <f t="shared" si="6"/>
        <v>-0.67490329135733573</v>
      </c>
      <c r="I21" s="74">
        <f t="shared" si="8"/>
        <v>-0.47243230395013497</v>
      </c>
      <c r="J21" s="57" t="str">
        <f t="shared" ca="1" si="9"/>
        <v/>
      </c>
      <c r="K21" s="57" t="str">
        <f t="shared" ca="1" si="10"/>
        <v/>
      </c>
      <c r="L21" t="str">
        <f t="shared" ca="1" si="11"/>
        <v/>
      </c>
      <c r="M21" s="61">
        <f t="shared" si="12"/>
        <v>6</v>
      </c>
      <c r="R21" s="57">
        <v>6</v>
      </c>
      <c r="T21" s="59">
        <f t="shared" si="16"/>
        <v>1119772.0381943309</v>
      </c>
      <c r="U21" s="60">
        <f t="shared" si="13"/>
        <v>5.6140880938120707</v>
      </c>
      <c r="V21" t="str">
        <f t="shared" si="17"/>
        <v/>
      </c>
      <c r="W21">
        <f t="shared" si="14"/>
        <v>2</v>
      </c>
      <c r="X21">
        <f t="shared" si="15"/>
        <v>6</v>
      </c>
    </row>
    <row r="22" spans="1:24" x14ac:dyDescent="0.25">
      <c r="A22" t="str">
        <f t="shared" si="7"/>
        <v/>
      </c>
      <c r="B22" s="57">
        <v>7</v>
      </c>
      <c r="C22" s="57"/>
      <c r="D22" s="57"/>
      <c r="E22" s="58"/>
      <c r="F22" s="58"/>
      <c r="G22" s="59" cm="1">
        <f t="array" ref="G22">IF(G21&gt;0,G21*(IF(SUM($R$3,0.01*$M$3)&gt;0.99,0.99,$R$3+0.01*$M$3)),G21)+(($Q$3+$Q$3*S8)+IF(M22=0,$P$3*_xlfn.IFS(J22="НЕУРОЖАЙ",0.25,J22="ОБЫЧНЫЙ",1,J22="РЕКОРД",1.25,J22="",1),0))-$O$3</f>
        <v>-287812.34179941728</v>
      </c>
      <c r="H22" s="60">
        <f t="shared" si="6"/>
        <v>-1.4429757006201149</v>
      </c>
      <c r="I22" s="74">
        <f t="shared" si="8"/>
        <v>-1.0100829904340805</v>
      </c>
      <c r="J22" s="57" t="str">
        <f t="shared" ca="1" si="9"/>
        <v/>
      </c>
      <c r="K22" s="57" t="str">
        <f t="shared" ca="1" si="10"/>
        <v/>
      </c>
      <c r="L22" t="str">
        <f t="shared" ca="1" si="11"/>
        <v/>
      </c>
      <c r="M22" s="61">
        <f t="shared" si="12"/>
        <v>7</v>
      </c>
      <c r="R22" s="57">
        <v>7</v>
      </c>
      <c r="T22" s="59">
        <f t="shared" si="16"/>
        <v>1079276.1461793114</v>
      </c>
      <c r="U22" s="60">
        <f t="shared" si="13"/>
        <v>5.4110579256571087</v>
      </c>
      <c r="V22" t="str">
        <f t="shared" si="17"/>
        <v/>
      </c>
      <c r="W22">
        <f t="shared" si="14"/>
        <v>3</v>
      </c>
      <c r="X22">
        <f t="shared" si="15"/>
        <v>7</v>
      </c>
    </row>
    <row r="23" spans="1:24" x14ac:dyDescent="0.25">
      <c r="A23" t="str">
        <f t="shared" si="7"/>
        <v>АВГУСТ</v>
      </c>
      <c r="B23" s="57">
        <v>8</v>
      </c>
      <c r="C23" s="57"/>
      <c r="D23" s="57"/>
      <c r="E23" s="58"/>
      <c r="F23" s="58"/>
      <c r="G23" s="59" cm="1">
        <f t="array" aca="1" ref="G23" ca="1">IF(G22&gt;0,G22*(IF(SUM($R$3,0.01*$M$3)&gt;0.99,0.99,$R$3+0.01*$M$3)),G22)+(($Q$3+$Q$3*S9)+IF(M23=0,$P$3*_xlfn.IFS(J23="НЕУРОЖАЙ",0.25,J23="ОБЫЧНЫЙ",1,J23="РЕКОРД",1.25,J23="",1),0))-$O$3</f>
        <v>458989.84711724933</v>
      </c>
      <c r="H23" s="60">
        <f t="shared" ca="1" si="6"/>
        <v>2.3011910888905227</v>
      </c>
      <c r="I23" s="74">
        <f t="shared" ca="1" si="8"/>
        <v>1.6108337622233657</v>
      </c>
      <c r="J23" s="57" t="str">
        <f t="shared" ca="1" si="9"/>
        <v>ОБЫЧНЫЙ</v>
      </c>
      <c r="K23" s="57">
        <f t="shared" ca="1" si="10"/>
        <v>58</v>
      </c>
      <c r="L23">
        <f t="shared" ca="1" si="11"/>
        <v>94</v>
      </c>
      <c r="M23" s="61">
        <f t="shared" si="12"/>
        <v>0</v>
      </c>
      <c r="N23">
        <v>34</v>
      </c>
      <c r="R23" s="57">
        <v>8</v>
      </c>
      <c r="T23" s="59">
        <f t="shared" si="16"/>
        <v>714997.41031049867</v>
      </c>
      <c r="U23" s="60">
        <f t="shared" si="13"/>
        <v>3.5847103798050139</v>
      </c>
      <c r="V23">
        <f t="shared" si="17"/>
        <v>2</v>
      </c>
      <c r="W23">
        <f t="shared" si="14"/>
        <v>0</v>
      </c>
      <c r="X23">
        <f t="shared" si="15"/>
        <v>8</v>
      </c>
    </row>
    <row r="24" spans="1:24" x14ac:dyDescent="0.25">
      <c r="A24" t="str">
        <f t="shared" si="7"/>
        <v/>
      </c>
      <c r="B24" s="57">
        <v>9</v>
      </c>
      <c r="C24" s="57"/>
      <c r="D24" s="57"/>
      <c r="E24" s="58"/>
      <c r="F24" s="58"/>
      <c r="G24" s="59" cm="1">
        <f t="array" aca="1" ref="G24" ca="1">IF(G23&gt;0,G23*(IF(SUM($R$3,0.01*$M$3)&gt;0.99,0.99,$R$3+0.01*$M$3)),G23)+(($Q$3+$Q$3*S10)+IF(M24=0,$P$3*_xlfn.IFS(J24="НЕУРОЖАЙ",0.25,J24="ОБЫЧНЫЙ",1,J24="РЕКОРД",1.25,J24="",1),0))-$O$3</f>
        <v>168095.08189874119</v>
      </c>
      <c r="H24" s="60">
        <f t="shared" ca="1" si="6"/>
        <v>0.84276135296058652</v>
      </c>
      <c r="I24" s="74">
        <f t="shared" ca="1" si="8"/>
        <v>0.58993294707241051</v>
      </c>
      <c r="J24" s="57" t="str">
        <f t="shared" ca="1" si="9"/>
        <v/>
      </c>
      <c r="K24" s="57" t="str">
        <f t="shared" ca="1" si="10"/>
        <v/>
      </c>
      <c r="L24" t="str">
        <f t="shared" ca="1" si="11"/>
        <v/>
      </c>
      <c r="M24" s="61">
        <f t="shared" si="12"/>
        <v>1</v>
      </c>
      <c r="N24" t="str">
        <f>IF(M24=0,IF(J16="НЕУРОЖАЙ",1,N16+33),"")</f>
        <v/>
      </c>
      <c r="R24" s="57">
        <v>9</v>
      </c>
      <c r="T24" s="59">
        <f t="shared" si="16"/>
        <v>674501.51829547936</v>
      </c>
      <c r="U24" s="60">
        <f t="shared" si="13"/>
        <v>3.3816802116500524</v>
      </c>
      <c r="V24" t="str">
        <f t="shared" si="17"/>
        <v/>
      </c>
      <c r="W24">
        <f t="shared" si="14"/>
        <v>1</v>
      </c>
      <c r="X24">
        <f t="shared" si="15"/>
        <v>9</v>
      </c>
    </row>
    <row r="25" spans="1:24" x14ac:dyDescent="0.25">
      <c r="A25" t="str">
        <f t="shared" si="7"/>
        <v/>
      </c>
      <c r="B25" s="57">
        <v>10</v>
      </c>
      <c r="C25" s="57"/>
      <c r="D25" s="57"/>
      <c r="E25" s="58"/>
      <c r="F25" s="58"/>
      <c r="G25" s="59" cm="1">
        <f t="array" aca="1" ref="G25" ca="1">IF(G24&gt;0,G24*(IF(SUM($R$3,0.01*$M$3)&gt;0.99,0.99,$R$3+0.01*$M$3)),G24)+(($Q$3+$Q$3*S11)+IF(M25=0,$P$3*_xlfn.IFS(J25="НЕУРОЖАЙ",0.25,J25="ОБЫЧНЫЙ",1,J25="РЕКОРД",1.25,J25="",1),0))-$O$3</f>
        <v>-35531.253754214529</v>
      </c>
      <c r="H25" s="60">
        <f t="shared" ca="1" si="6"/>
        <v>-0.1781394621903688</v>
      </c>
      <c r="I25" s="74">
        <f t="shared" ca="1" si="8"/>
        <v>-0.12469762353325815</v>
      </c>
      <c r="J25" s="57" t="str">
        <f t="shared" ca="1" si="9"/>
        <v/>
      </c>
      <c r="K25" s="57" t="str">
        <f t="shared" ca="1" si="10"/>
        <v/>
      </c>
      <c r="L25" t="str">
        <f t="shared" ca="1" si="11"/>
        <v/>
      </c>
      <c r="M25" s="61">
        <f t="shared" si="12"/>
        <v>2</v>
      </c>
      <c r="N25" t="str">
        <f t="shared" ref="N25:N62" si="18">IF(M25=0,IF(J17="НЕУРОЖАЙ",1,N17+33),"")</f>
        <v/>
      </c>
      <c r="R25" s="57">
        <v>10</v>
      </c>
      <c r="T25" s="59">
        <f t="shared" si="16"/>
        <v>634005.62628046004</v>
      </c>
      <c r="U25" s="60">
        <f t="shared" si="13"/>
        <v>3.1786500434950904</v>
      </c>
      <c r="V25" t="str">
        <f t="shared" si="17"/>
        <v/>
      </c>
      <c r="W25">
        <f t="shared" si="14"/>
        <v>2</v>
      </c>
      <c r="X25">
        <f t="shared" si="15"/>
        <v>10</v>
      </c>
    </row>
    <row r="26" spans="1:24" x14ac:dyDescent="0.25">
      <c r="A26" t="str">
        <f t="shared" si="7"/>
        <v/>
      </c>
      <c r="B26" s="57">
        <v>11</v>
      </c>
      <c r="C26" s="57"/>
      <c r="D26" s="57"/>
      <c r="E26" s="58"/>
      <c r="F26" s="58"/>
      <c r="G26" s="59" cm="1">
        <f t="array" aca="1" ref="G26" ca="1">IF(G25&gt;0,G25*(IF(SUM($R$3,0.01*$M$3)&gt;0.99,0.99,$R$3+0.01*$M$3)),G25)+(($Q$3+$Q$3*S12)+IF(M26=0,$P$3*_xlfn.IFS(J26="НЕУРОЖАЙ",0.25,J26="ОБЫЧНЫЙ",1,J26="РЕКОРД",1.25,J26="",1),0))-$O$3</f>
        <v>-188729.06483754789</v>
      </c>
      <c r="H26" s="60">
        <f t="shared" ca="1" si="6"/>
        <v>-0.94621187145314822</v>
      </c>
      <c r="I26" s="74">
        <f t="shared" ca="1" si="8"/>
        <v>-0.66234831001720373</v>
      </c>
      <c r="J26" s="57" t="str">
        <f t="shared" ca="1" si="9"/>
        <v/>
      </c>
      <c r="K26" s="57" t="str">
        <f t="shared" ca="1" si="10"/>
        <v/>
      </c>
      <c r="L26" t="str">
        <f t="shared" ca="1" si="11"/>
        <v/>
      </c>
      <c r="M26" s="61">
        <f t="shared" si="12"/>
        <v>3</v>
      </c>
      <c r="N26" t="str">
        <f t="shared" si="18"/>
        <v/>
      </c>
      <c r="R26" s="57">
        <v>11</v>
      </c>
      <c r="T26" s="59">
        <f t="shared" si="16"/>
        <v>593509.73426544073</v>
      </c>
      <c r="U26" s="60">
        <f t="shared" si="13"/>
        <v>2.9756198753401288</v>
      </c>
      <c r="V26" t="str">
        <f t="shared" si="17"/>
        <v/>
      </c>
      <c r="W26">
        <f t="shared" si="14"/>
        <v>3</v>
      </c>
      <c r="X26">
        <f t="shared" si="15"/>
        <v>11</v>
      </c>
    </row>
    <row r="27" spans="1:24" x14ac:dyDescent="0.25">
      <c r="A27" t="str">
        <f t="shared" si="7"/>
        <v/>
      </c>
      <c r="B27" s="57">
        <v>12</v>
      </c>
      <c r="C27" s="57"/>
      <c r="D27" s="57"/>
      <c r="E27" s="58"/>
      <c r="F27" s="58"/>
      <c r="G27" s="59" cm="1">
        <f t="array" aca="1" ref="G27" ca="1">IF(G26&gt;0,G26*(IF(SUM($R$3,0.01*$M$3)&gt;0.99,0.99,$R$3+0.01*$M$3)),G26)+(($Q$3+$Q$3*S13)+IF(M27=0,$P$3*_xlfn.IFS(J27="НЕУРОЖАЙ",0.25,J27="ОБЫЧНЫЙ",1,J27="РЕКОРД",1.25,J27="",1),0))-$O$3</f>
        <v>-341926.87592088123</v>
      </c>
      <c r="H27" s="60">
        <f t="shared" ca="1" si="6"/>
        <v>-1.7142842807159275</v>
      </c>
      <c r="I27" s="74">
        <f t="shared" ca="1" si="8"/>
        <v>-1.1999989965011493</v>
      </c>
      <c r="J27" s="57" t="str">
        <f t="shared" ca="1" si="9"/>
        <v/>
      </c>
      <c r="K27" s="57" t="str">
        <f t="shared" ca="1" si="10"/>
        <v/>
      </c>
      <c r="L27" t="str">
        <f t="shared" ca="1" si="11"/>
        <v/>
      </c>
      <c r="M27" s="61">
        <f t="shared" si="12"/>
        <v>4</v>
      </c>
      <c r="N27" t="str">
        <f t="shared" si="18"/>
        <v/>
      </c>
      <c r="R27" s="57">
        <v>12</v>
      </c>
      <c r="T27" s="59">
        <f t="shared" si="16"/>
        <v>374960.92197078909</v>
      </c>
      <c r="U27" s="60">
        <f t="shared" si="13"/>
        <v>1.8799037445831279</v>
      </c>
      <c r="V27">
        <f t="shared" si="17"/>
        <v>3</v>
      </c>
      <c r="W27">
        <f t="shared" si="14"/>
        <v>0</v>
      </c>
      <c r="X27">
        <f t="shared" si="15"/>
        <v>12</v>
      </c>
    </row>
    <row r="28" spans="1:24" x14ac:dyDescent="0.25">
      <c r="A28" t="str">
        <f t="shared" si="7"/>
        <v/>
      </c>
      <c r="B28" s="57">
        <v>13</v>
      </c>
      <c r="C28" s="57"/>
      <c r="D28" s="57"/>
      <c r="E28" s="58"/>
      <c r="F28" s="58"/>
      <c r="G28" s="59" cm="1">
        <f t="array" aca="1" ref="G28" ca="1">IF(G27&gt;0,G27*(IF(SUM($R$3,0.01*$M$3)&gt;0.99,0.99,$R$3+0.01*$M$3)),G27)+(($Q$3+$Q$3*S14)+IF(M28=0,$P$3*_xlfn.IFS(J28="НЕУРОЖАЙ",0.25,J28="ОБЫЧНЫЙ",1,J28="РЕКОРД",1.25,J28="",1),0))-$O$3</f>
        <v>-495124.68700421456</v>
      </c>
      <c r="H28" s="60">
        <f t="shared" ca="1" si="6"/>
        <v>-2.4823566899787068</v>
      </c>
      <c r="I28" s="74">
        <f t="shared" ca="1" si="8"/>
        <v>-1.7376496829850947</v>
      </c>
      <c r="J28" s="57" t="str">
        <f t="shared" ca="1" si="9"/>
        <v/>
      </c>
      <c r="K28" s="57" t="str">
        <f t="shared" ca="1" si="10"/>
        <v/>
      </c>
      <c r="L28" t="str">
        <f t="shared" ca="1" si="11"/>
        <v/>
      </c>
      <c r="M28" s="61">
        <f t="shared" si="12"/>
        <v>5</v>
      </c>
      <c r="N28" t="str">
        <f t="shared" si="18"/>
        <v/>
      </c>
      <c r="R28" s="57">
        <v>13</v>
      </c>
      <c r="T28" s="59">
        <f t="shared" si="16"/>
        <v>334465.02995576971</v>
      </c>
      <c r="U28" s="60">
        <f t="shared" si="13"/>
        <v>1.6768735764281659</v>
      </c>
      <c r="V28" t="str">
        <f t="shared" si="17"/>
        <v/>
      </c>
      <c r="W28">
        <f t="shared" si="14"/>
        <v>1</v>
      </c>
      <c r="X28">
        <f t="shared" si="15"/>
        <v>13</v>
      </c>
    </row>
    <row r="29" spans="1:24" x14ac:dyDescent="0.25">
      <c r="A29" t="str">
        <f t="shared" si="7"/>
        <v/>
      </c>
      <c r="B29" s="57">
        <v>14</v>
      </c>
      <c r="C29" s="57"/>
      <c r="D29" s="57"/>
      <c r="E29" s="58"/>
      <c r="F29" s="58"/>
      <c r="G29" s="59" cm="1">
        <f t="array" aca="1" ref="G29" ca="1">IF(G28&gt;0,G28*(IF(SUM($R$3,0.01*$M$3)&gt;0.99,0.99,$R$3+0.01*$M$3)),G28)+(($Q$3+$Q$3*S15)+IF(M29=0,$P$3*_xlfn.IFS(J29="НЕУРОЖАЙ",0.25,J29="ОБЫЧНЫЙ",1,J29="РЕКОРД",1.25,J29="",1),0))-$O$3</f>
        <v>-648322.49808754795</v>
      </c>
      <c r="H29" s="60">
        <f t="shared" ca="1" si="6"/>
        <v>-3.2504290992414862</v>
      </c>
      <c r="I29" s="74">
        <f t="shared" ca="1" si="8"/>
        <v>-2.2753003694690404</v>
      </c>
      <c r="J29" s="57" t="str">
        <f t="shared" ca="1" si="9"/>
        <v/>
      </c>
      <c r="K29" s="57" t="str">
        <f t="shared" ca="1" si="10"/>
        <v/>
      </c>
      <c r="L29" t="str">
        <f t="shared" ca="1" si="11"/>
        <v/>
      </c>
      <c r="M29" s="61">
        <f t="shared" si="12"/>
        <v>6</v>
      </c>
      <c r="N29" t="str">
        <f t="shared" si="18"/>
        <v/>
      </c>
      <c r="R29" s="57">
        <v>14</v>
      </c>
      <c r="T29" s="59">
        <f t="shared" si="16"/>
        <v>293969.13794075034</v>
      </c>
      <c r="U29" s="60">
        <f t="shared" si="13"/>
        <v>1.4738434082732037</v>
      </c>
      <c r="V29" t="str">
        <f t="shared" si="17"/>
        <v/>
      </c>
      <c r="W29">
        <f t="shared" si="14"/>
        <v>2</v>
      </c>
      <c r="X29">
        <f t="shared" si="15"/>
        <v>14</v>
      </c>
    </row>
    <row r="30" spans="1:24" x14ac:dyDescent="0.25">
      <c r="A30" t="str">
        <f t="shared" si="7"/>
        <v/>
      </c>
      <c r="B30" s="57">
        <v>15</v>
      </c>
      <c r="C30" s="57"/>
      <c r="D30" s="57"/>
      <c r="E30" s="58"/>
      <c r="F30" s="58"/>
      <c r="G30" s="59" cm="1">
        <f t="array" aca="1" ref="G30" ca="1">IF(G29&gt;0,G29*(IF(SUM($R$3,0.01*$M$3)&gt;0.99,0.99,$R$3+0.01*$M$3)),G29)+(($Q$3+$Q$3*S16)+IF(M30=0,$P$3*_xlfn.IFS(J30="НЕУРОЖАЙ",0.25,J30="ОБЫЧНЫЙ",1,J30="РЕКОРД",1.25,J30="",1),0))-$O$3</f>
        <v>-801520.30917088129</v>
      </c>
      <c r="H30" s="60">
        <f t="shared" ca="1" si="6"/>
        <v>-4.018501508504265</v>
      </c>
      <c r="I30" s="74">
        <f t="shared" ca="1" si="8"/>
        <v>-2.8129510559529853</v>
      </c>
      <c r="J30" s="57" t="str">
        <f t="shared" ca="1" si="9"/>
        <v/>
      </c>
      <c r="K30" s="57" t="str">
        <f t="shared" ca="1" si="10"/>
        <v/>
      </c>
      <c r="L30" t="str">
        <f t="shared" ca="1" si="11"/>
        <v/>
      </c>
      <c r="M30" s="61">
        <f t="shared" si="12"/>
        <v>7</v>
      </c>
      <c r="N30" t="str">
        <f t="shared" si="18"/>
        <v/>
      </c>
      <c r="R30" s="57">
        <v>15</v>
      </c>
      <c r="T30" s="59">
        <f t="shared" si="16"/>
        <v>253473.24592573097</v>
      </c>
      <c r="U30" s="60">
        <f t="shared" si="13"/>
        <v>1.2708132401182417</v>
      </c>
      <c r="V30" t="str">
        <f t="shared" si="17"/>
        <v/>
      </c>
      <c r="W30">
        <f t="shared" si="14"/>
        <v>3</v>
      </c>
      <c r="X30">
        <f t="shared" si="15"/>
        <v>15</v>
      </c>
    </row>
    <row r="31" spans="1:24" x14ac:dyDescent="0.25">
      <c r="A31" t="str">
        <f t="shared" si="7"/>
        <v>АВГУСТ</v>
      </c>
      <c r="B31" s="57">
        <v>16</v>
      </c>
      <c r="C31" s="57"/>
      <c r="D31" s="57"/>
      <c r="E31" s="58"/>
      <c r="F31" s="58"/>
      <c r="G31" s="59" cm="1">
        <f t="array" aca="1" ref="G31" ca="1">IF(G30&gt;0,G30*(IF(SUM($R$3,0.01*$M$3)&gt;0.99,0.99,$R$3+0.01*$M$3)),G30)+(($Q$3+$Q$3*S17)+IF(M31=0,$P$3*_xlfn.IFS(J31="НЕУРОЖАЙ",0.25,J31="ОБЫЧНЫЙ",1,J31="РЕКОРД",1.25,J31="",1),0))-$O$3</f>
        <v>-729718.12025421462</v>
      </c>
      <c r="H31" s="60">
        <f t="shared" ca="1" si="6"/>
        <v>-3.6585141180736902</v>
      </c>
      <c r="I31" s="74">
        <f t="shared" ca="1" si="8"/>
        <v>-2.5609598826515829</v>
      </c>
      <c r="J31" s="57" t="str">
        <f t="shared" ca="1" si="9"/>
        <v>НЕУРОЖАЙ</v>
      </c>
      <c r="K31" s="57">
        <f t="shared" ca="1" si="10"/>
        <v>32</v>
      </c>
      <c r="L31" t="str">
        <f t="shared" ca="1" si="11"/>
        <v/>
      </c>
      <c r="M31" s="61">
        <f t="shared" si="12"/>
        <v>0</v>
      </c>
      <c r="N31">
        <f t="shared" ca="1" si="18"/>
        <v>67</v>
      </c>
      <c r="R31" s="57">
        <v>16</v>
      </c>
      <c r="T31" s="59">
        <f t="shared" si="16"/>
        <v>136935.38013299229</v>
      </c>
      <c r="U31" s="60">
        <f t="shared" si="13"/>
        <v>0.68653909992780715</v>
      </c>
      <c r="V31">
        <f t="shared" si="17"/>
        <v>4</v>
      </c>
      <c r="W31">
        <f t="shared" si="14"/>
        <v>0</v>
      </c>
      <c r="X31">
        <f t="shared" si="15"/>
        <v>16</v>
      </c>
    </row>
    <row r="32" spans="1:24" x14ac:dyDescent="0.25">
      <c r="A32" t="str">
        <f t="shared" si="7"/>
        <v/>
      </c>
      <c r="B32" s="57">
        <v>17</v>
      </c>
      <c r="C32" s="57"/>
      <c r="D32" s="57"/>
      <c r="E32" s="58"/>
      <c r="F32" s="58"/>
      <c r="G32" s="59" cm="1">
        <f t="array" aca="1" ref="G32" ca="1">IF(G31&gt;0,G31*(IF(SUM($R$3,0.01*$M$3)&gt;0.99,0.99,$R$3+0.01*$M$3)),G31)+(($Q$3+$Q$3*S18)+IF(M32=0,$P$3*_xlfn.IFS(J32="НЕУРОЖАЙ",0.25,J32="ОБЫЧНЫЙ",1,J32="РЕКОРД",1.25,J32="",1),0))-$O$3</f>
        <v>-882915.93133754795</v>
      </c>
      <c r="H32" s="60">
        <f t="shared" ca="1" si="6"/>
        <v>-4.42658652733647</v>
      </c>
      <c r="I32" s="74">
        <f t="shared" ca="1" si="8"/>
        <v>-3.0986105691355288</v>
      </c>
      <c r="J32" s="57" t="str">
        <f t="shared" ca="1" si="9"/>
        <v/>
      </c>
      <c r="K32" s="57" t="str">
        <f t="shared" ref="K32:K63" ca="1" si="19">IF(M32=0,RANDBETWEEN(1,100),"")</f>
        <v/>
      </c>
      <c r="L32" t="str">
        <f t="shared" ref="L32:L63" ca="1" si="20">IF(AND(M32=0,K32&gt;33),RANDBETWEEN(1,100),"")</f>
        <v/>
      </c>
      <c r="M32" s="61">
        <f t="shared" si="12"/>
        <v>1</v>
      </c>
      <c r="N32" t="str">
        <f t="shared" si="18"/>
        <v/>
      </c>
      <c r="R32" s="57">
        <v>17</v>
      </c>
      <c r="T32" s="59">
        <f t="shared" si="16"/>
        <v>96439.488117972898</v>
      </c>
      <c r="U32" s="60">
        <f t="shared" si="13"/>
        <v>0.48350893177284499</v>
      </c>
      <c r="V32" t="str">
        <f t="shared" si="17"/>
        <v/>
      </c>
      <c r="W32">
        <f t="shared" si="14"/>
        <v>1</v>
      </c>
      <c r="X32">
        <f t="shared" si="15"/>
        <v>17</v>
      </c>
    </row>
    <row r="33" spans="1:27" x14ac:dyDescent="0.25">
      <c r="A33" t="str">
        <f t="shared" si="7"/>
        <v/>
      </c>
      <c r="B33" s="57">
        <v>18</v>
      </c>
      <c r="C33" s="57"/>
      <c r="D33" s="57"/>
      <c r="E33" s="58"/>
      <c r="F33" s="58"/>
      <c r="G33" s="59" cm="1">
        <f t="array" aca="1" ref="G33" ca="1">IF(G32&gt;0,G32*(IF(SUM($R$3,0.01*$M$3)&gt;0.99,0.99,$R$3+0.01*$M$3)),G32)+(($Q$3+$Q$3*S19)+IF(M33=0,$P$3*_xlfn.IFS(J33="НЕУРОЖАЙ",0.25,J33="ОБЫЧНЫЙ",1,J33="РЕКОРД",1.25,J33="",1),0))-$O$3</f>
        <v>-1036113.7424208813</v>
      </c>
      <c r="H33" s="60">
        <f t="shared" ca="1" si="6"/>
        <v>-5.1946589365992493</v>
      </c>
      <c r="I33" s="74">
        <f t="shared" ca="1" si="8"/>
        <v>-3.6362612556194742</v>
      </c>
      <c r="J33" s="57" t="str">
        <f t="shared" ca="1" si="9"/>
        <v/>
      </c>
      <c r="K33" s="57" t="str">
        <f t="shared" ca="1" si="19"/>
        <v/>
      </c>
      <c r="L33" t="str">
        <f t="shared" ca="1" si="20"/>
        <v/>
      </c>
      <c r="M33" s="61">
        <f t="shared" si="12"/>
        <v>2</v>
      </c>
      <c r="N33" t="str">
        <f t="shared" si="18"/>
        <v/>
      </c>
      <c r="R33" s="57">
        <v>18</v>
      </c>
      <c r="T33" s="59">
        <f t="shared" si="16"/>
        <v>55943.59610295351</v>
      </c>
      <c r="U33" s="60">
        <f t="shared" si="13"/>
        <v>0.28047876361788288</v>
      </c>
      <c r="V33" t="str">
        <f t="shared" si="17"/>
        <v/>
      </c>
      <c r="W33">
        <f t="shared" si="14"/>
        <v>2</v>
      </c>
      <c r="X33">
        <f t="shared" si="15"/>
        <v>18</v>
      </c>
    </row>
    <row r="34" spans="1:27" x14ac:dyDescent="0.25">
      <c r="A34" t="str">
        <f t="shared" si="7"/>
        <v/>
      </c>
      <c r="B34" s="57">
        <v>19</v>
      </c>
      <c r="C34" s="57"/>
      <c r="D34" s="57"/>
      <c r="E34" s="58"/>
      <c r="F34" s="58"/>
      <c r="G34" s="59" cm="1">
        <f t="array" aca="1" ref="G34" ca="1">IF(G33&gt;0,G33*(IF(SUM($R$3,0.01*$M$3)&gt;0.99,0.99,$R$3+0.01*$M$3)),G33)+(($Q$3+$Q$3*S20)+IF(M34=0,$P$3*_xlfn.IFS(J34="НЕУРОЖАЙ",0.25,J34="ОБЫЧНЫЙ",1,J34="РЕКОРД",1.25,J34="",1),0))-$O$3</f>
        <v>-1189311.5535042146</v>
      </c>
      <c r="H34" s="60">
        <f t="shared" ca="1" si="6"/>
        <v>-5.9627313458620277</v>
      </c>
      <c r="I34" s="74">
        <f t="shared" ca="1" si="8"/>
        <v>-4.1739119421034188</v>
      </c>
      <c r="J34" s="57" t="str">
        <f t="shared" ca="1" si="9"/>
        <v/>
      </c>
      <c r="K34" s="57" t="str">
        <f t="shared" ca="1" si="19"/>
        <v/>
      </c>
      <c r="L34" t="str">
        <f t="shared" ca="1" si="20"/>
        <v/>
      </c>
      <c r="M34" s="61">
        <f t="shared" si="12"/>
        <v>3</v>
      </c>
      <c r="N34" t="str">
        <f t="shared" si="18"/>
        <v/>
      </c>
      <c r="R34" s="57">
        <v>19</v>
      </c>
      <c r="T34" s="59">
        <f t="shared" si="16"/>
        <v>15447.704087934122</v>
      </c>
      <c r="U34" s="60">
        <f t="shared" si="13"/>
        <v>7.744859546292078E-2</v>
      </c>
      <c r="V34" t="str">
        <f t="shared" si="17"/>
        <v/>
      </c>
      <c r="W34">
        <f t="shared" si="14"/>
        <v>3</v>
      </c>
      <c r="X34">
        <f t="shared" si="15"/>
        <v>19</v>
      </c>
    </row>
    <row r="35" spans="1:27" x14ac:dyDescent="0.25">
      <c r="A35" t="str">
        <f t="shared" si="7"/>
        <v/>
      </c>
      <c r="B35" s="57">
        <v>20</v>
      </c>
      <c r="C35" s="57"/>
      <c r="D35" s="57"/>
      <c r="E35" s="58"/>
      <c r="F35" s="58"/>
      <c r="G35" s="59" cm="1">
        <f t="array" aca="1" ref="G35" ca="1">IF(G34&gt;0,G34*(IF(SUM($R$3,0.01*$M$3)&gt;0.99,0.99,$R$3+0.01*$M$3)),G34)+(($Q$3+$Q$3*S21)+IF(M35=0,$P$3*_xlfn.IFS(J35="НЕУРОЖАЙ",0.25,J35="ОБЫЧНЫЙ",1,J35="РЕКОРД",1.25,J35="",1),0))-$O$3</f>
        <v>-1342509.364587548</v>
      </c>
      <c r="H35" s="60">
        <f t="shared" ca="1" si="6"/>
        <v>-6.730803755124807</v>
      </c>
      <c r="I35" s="74">
        <f t="shared" ca="1" si="8"/>
        <v>-4.7115626285873642</v>
      </c>
      <c r="J35" s="57" t="str">
        <f t="shared" ca="1" si="9"/>
        <v/>
      </c>
      <c r="K35" s="57" t="str">
        <f t="shared" ca="1" si="19"/>
        <v/>
      </c>
      <c r="L35" t="str">
        <f t="shared" ca="1" si="20"/>
        <v/>
      </c>
      <c r="M35" s="61">
        <f t="shared" si="12"/>
        <v>4</v>
      </c>
      <c r="N35" t="str">
        <f t="shared" si="18"/>
        <v/>
      </c>
      <c r="R35" s="57">
        <v>20</v>
      </c>
      <c r="T35" s="59">
        <f t="shared" si="16"/>
        <v>-29682.499153465498</v>
      </c>
      <c r="U35" s="60">
        <f t="shared" si="13"/>
        <v>-0.14881615133091755</v>
      </c>
      <c r="V35">
        <f t="shared" si="17"/>
        <v>5</v>
      </c>
      <c r="W35">
        <f t="shared" si="14"/>
        <v>0</v>
      </c>
      <c r="X35">
        <f t="shared" si="15"/>
        <v>20</v>
      </c>
    </row>
    <row r="36" spans="1:27" x14ac:dyDescent="0.25">
      <c r="A36" t="str">
        <f t="shared" si="7"/>
        <v/>
      </c>
      <c r="B36" s="57">
        <v>21</v>
      </c>
      <c r="C36" s="57"/>
      <c r="D36" s="57"/>
      <c r="E36" s="58"/>
      <c r="F36" s="58"/>
      <c r="G36" s="59" cm="1">
        <f t="array" aca="1" ref="G36" ca="1">IF(G35&gt;0,G35*(IF(SUM($R$3,0.01*$M$3)&gt;0.99,0.99,$R$3+0.01*$M$3)),G35)+(($Q$3+$Q$3*S22)+IF(M36=0,$P$3*_xlfn.IFS(J36="НЕУРОЖАЙ",0.25,J36="ОБЫЧНЫЙ",1,J36="РЕКОРД",1.25,J36="",1),0))-$O$3</f>
        <v>-1495707.1756708813</v>
      </c>
      <c r="H36" s="60">
        <f t="shared" ca="1" si="6"/>
        <v>-7.4988761643875863</v>
      </c>
      <c r="I36" s="74">
        <f t="shared" ca="1" si="8"/>
        <v>-5.2492133150713105</v>
      </c>
      <c r="J36" s="57" t="str">
        <f t="shared" ca="1" si="9"/>
        <v/>
      </c>
      <c r="K36" s="57" t="str">
        <f t="shared" ca="1" si="19"/>
        <v/>
      </c>
      <c r="L36" t="str">
        <f t="shared" ca="1" si="20"/>
        <v/>
      </c>
      <c r="M36" s="61">
        <f t="shared" si="12"/>
        <v>5</v>
      </c>
      <c r="N36" t="str">
        <f t="shared" si="18"/>
        <v/>
      </c>
      <c r="R36" s="57">
        <v>21</v>
      </c>
      <c r="T36" s="59">
        <f t="shared" si="16"/>
        <v>-70178.391168484886</v>
      </c>
      <c r="U36" s="60">
        <f t="shared" si="13"/>
        <v>-0.35184631948587963</v>
      </c>
      <c r="V36" t="str">
        <f t="shared" si="17"/>
        <v/>
      </c>
      <c r="W36">
        <f t="shared" si="14"/>
        <v>1</v>
      </c>
      <c r="X36">
        <f t="shared" si="15"/>
        <v>21</v>
      </c>
    </row>
    <row r="37" spans="1:27" x14ac:dyDescent="0.25">
      <c r="A37" t="str">
        <f t="shared" si="7"/>
        <v/>
      </c>
      <c r="B37" s="57">
        <v>22</v>
      </c>
      <c r="C37" s="57"/>
      <c r="D37" s="57"/>
      <c r="E37" s="58"/>
      <c r="F37" s="58"/>
      <c r="G37" s="59" cm="1">
        <f t="array" aca="1" ref="G37" ca="1">IF(G36&gt;0,G36*(IF(SUM($R$3,0.01*$M$3)&gt;0.99,0.99,$R$3+0.01*$M$3)),G36)+(($Q$3+$Q$3*S23)+IF(M37=0,$P$3*_xlfn.IFS(J37="НЕУРОЖАЙ",0.25,J37="ОБЫЧНЫЙ",1,J37="РЕКОРД",1.25,J37="",1),0))-$O$3</f>
        <v>-1648904.9867542146</v>
      </c>
      <c r="H37" s="60">
        <f t="shared" ca="1" si="6"/>
        <v>-8.2669485736503656</v>
      </c>
      <c r="I37" s="74">
        <f t="shared" ca="1" si="8"/>
        <v>-5.7868640015552559</v>
      </c>
      <c r="J37" s="57" t="str">
        <f t="shared" ca="1" si="9"/>
        <v/>
      </c>
      <c r="K37" s="57" t="str">
        <f t="shared" ca="1" si="19"/>
        <v/>
      </c>
      <c r="L37" t="str">
        <f t="shared" ca="1" si="20"/>
        <v/>
      </c>
      <c r="M37" s="61">
        <f t="shared" si="12"/>
        <v>6</v>
      </c>
      <c r="N37" t="str">
        <f t="shared" si="18"/>
        <v/>
      </c>
      <c r="R37" s="57">
        <v>22</v>
      </c>
      <c r="T37" s="59">
        <f t="shared" si="16"/>
        <v>-110674.28318350427</v>
      </c>
      <c r="U37" s="60">
        <f t="shared" si="13"/>
        <v>-0.55487648764084174</v>
      </c>
      <c r="V37" t="str">
        <f t="shared" si="17"/>
        <v/>
      </c>
      <c r="W37">
        <f t="shared" si="14"/>
        <v>2</v>
      </c>
      <c r="X37">
        <f t="shared" si="15"/>
        <v>22</v>
      </c>
    </row>
    <row r="38" spans="1:27" x14ac:dyDescent="0.25">
      <c r="A38" t="str">
        <f t="shared" si="7"/>
        <v/>
      </c>
      <c r="B38" s="57">
        <v>23</v>
      </c>
      <c r="C38" s="57"/>
      <c r="D38" s="57"/>
      <c r="E38" s="58"/>
      <c r="F38" s="58"/>
      <c r="G38" s="59" cm="1">
        <f t="array" aca="1" ref="G38" ca="1">IF(G37&gt;0,G37*(IF(SUM($R$3,0.01*$M$3)&gt;0.99,0.99,$R$3+0.01*$M$3)),G37)+(($Q$3+$Q$3*S24)+IF(M38=0,$P$3*_xlfn.IFS(J38="НЕУРОЖАЙ",0.25,J38="ОБЫЧНЫЙ",1,J38="РЕКОРД",1.25,J38="",1),0))-$O$3</f>
        <v>-1802102.797837548</v>
      </c>
      <c r="H38" s="60">
        <f t="shared" ca="1" si="6"/>
        <v>-9.0350209829131458</v>
      </c>
      <c r="I38" s="74">
        <f t="shared" ca="1" si="8"/>
        <v>-6.3245146880392014</v>
      </c>
      <c r="J38" s="57" t="str">
        <f t="shared" ca="1" si="9"/>
        <v/>
      </c>
      <c r="K38" s="57" t="str">
        <f t="shared" ca="1" si="19"/>
        <v/>
      </c>
      <c r="L38" t="str">
        <f t="shared" ca="1" si="20"/>
        <v/>
      </c>
      <c r="M38" s="61">
        <f t="shared" si="12"/>
        <v>7</v>
      </c>
      <c r="N38" t="str">
        <f t="shared" si="18"/>
        <v/>
      </c>
      <c r="R38" s="57">
        <v>23</v>
      </c>
      <c r="T38" s="59">
        <f t="shared" si="16"/>
        <v>-151170.17519852368</v>
      </c>
      <c r="U38" s="60">
        <f t="shared" si="13"/>
        <v>-0.75790665579580396</v>
      </c>
      <c r="V38" t="str">
        <f t="shared" si="17"/>
        <v/>
      </c>
      <c r="W38">
        <f t="shared" si="14"/>
        <v>3</v>
      </c>
      <c r="X38">
        <f t="shared" si="15"/>
        <v>23</v>
      </c>
    </row>
    <row r="39" spans="1:27" x14ac:dyDescent="0.25">
      <c r="A39" t="str">
        <f t="shared" si="7"/>
        <v>АВГУСТ</v>
      </c>
      <c r="B39" s="57">
        <v>24</v>
      </c>
      <c r="C39" s="57"/>
      <c r="D39" s="57"/>
      <c r="E39" s="58"/>
      <c r="F39" s="58"/>
      <c r="G39" s="59" cm="1">
        <f t="array" aca="1" ref="G39" ca="1">IF(G38&gt;0,G38*(IF(SUM($R$3,0.01*$M$3)&gt;0.99,0.99,$R$3+0.01*$M$3)),G38)+(($Q$3+$Q$3*S25)+IF(M39=0,$P$3*_xlfn.IFS(J39="НЕУРОЖАЙ",0.25,J39="ОБЫЧНЫЙ",1,J39="РЕКОРД",1.25,J39="",1),0))-$O$3</f>
        <v>-1730300.6089208813</v>
      </c>
      <c r="H39" s="60">
        <f t="shared" ca="1" si="6"/>
        <v>-8.6750335924825706</v>
      </c>
      <c r="I39" s="74">
        <f t="shared" ca="1" si="8"/>
        <v>-6.0725235147377994</v>
      </c>
      <c r="J39" s="57" t="str">
        <f t="shared" ca="1" si="9"/>
        <v>НЕУРОЖАЙ</v>
      </c>
      <c r="K39" s="57">
        <f t="shared" ca="1" si="19"/>
        <v>31</v>
      </c>
      <c r="L39" t="str">
        <f t="shared" ca="1" si="20"/>
        <v/>
      </c>
      <c r="M39" s="61">
        <f t="shared" si="12"/>
        <v>0</v>
      </c>
      <c r="N39">
        <f t="shared" ca="1" si="18"/>
        <v>1</v>
      </c>
      <c r="R39" s="57">
        <v>24</v>
      </c>
      <c r="T39" s="59">
        <f t="shared" si="16"/>
        <v>-191666.06721354305</v>
      </c>
      <c r="U39" s="60">
        <f t="shared" si="13"/>
        <v>-0.96093682395076596</v>
      </c>
      <c r="V39">
        <f t="shared" si="17"/>
        <v>6</v>
      </c>
      <c r="W39">
        <f t="shared" si="14"/>
        <v>0</v>
      </c>
      <c r="X39">
        <f t="shared" si="15"/>
        <v>24</v>
      </c>
    </row>
    <row r="40" spans="1:27" x14ac:dyDescent="0.25">
      <c r="A40" t="str">
        <f t="shared" si="7"/>
        <v/>
      </c>
      <c r="B40" s="57">
        <v>25</v>
      </c>
      <c r="C40" s="57"/>
      <c r="D40" s="57"/>
      <c r="E40" s="58"/>
      <c r="F40" s="58"/>
      <c r="G40" s="59" cm="1">
        <f t="array" aca="1" ref="G40" ca="1">IF(G39&gt;0,G39*(IF(SUM($R$3,0.01*$M$3)&gt;0.99,0.99,$R$3+0.01*$M$3)),G39)+(($Q$3+$Q$3*S26)+IF(M40=0,$P$3*_xlfn.IFS(J40="НЕУРОЖАЙ",0.25,J40="ОБЫЧНЫЙ",1,J40="РЕКОРД",1.25,J40="",1),0))-$O$3</f>
        <v>-1883498.4200042146</v>
      </c>
      <c r="H40" s="60">
        <f t="shared" ca="1" si="6"/>
        <v>-9.443106001745349</v>
      </c>
      <c r="I40" s="74">
        <f t="shared" ca="1" si="8"/>
        <v>-6.6101742012217439</v>
      </c>
      <c r="J40" s="57" t="str">
        <f t="shared" ca="1" si="9"/>
        <v/>
      </c>
      <c r="K40" s="57" t="str">
        <f t="shared" ca="1" si="19"/>
        <v/>
      </c>
      <c r="L40" t="str">
        <f t="shared" ca="1" si="20"/>
        <v/>
      </c>
      <c r="M40" s="61">
        <f t="shared" si="12"/>
        <v>1</v>
      </c>
      <c r="N40" t="str">
        <f t="shared" si="18"/>
        <v/>
      </c>
      <c r="R40" s="57">
        <v>25</v>
      </c>
      <c r="T40" s="59">
        <f t="shared" si="16"/>
        <v>-232161.95922856242</v>
      </c>
      <c r="U40" s="60">
        <f t="shared" si="13"/>
        <v>-1.1639669921057281</v>
      </c>
      <c r="V40" t="str">
        <f t="shared" si="17"/>
        <v/>
      </c>
      <c r="W40">
        <f t="shared" si="14"/>
        <v>1</v>
      </c>
      <c r="X40">
        <f t="shared" si="15"/>
        <v>25</v>
      </c>
    </row>
    <row r="41" spans="1:27" x14ac:dyDescent="0.25">
      <c r="A41" t="str">
        <f t="shared" si="7"/>
        <v/>
      </c>
      <c r="B41" s="57">
        <v>26</v>
      </c>
      <c r="C41" s="57"/>
      <c r="D41" s="57"/>
      <c r="E41" s="58"/>
      <c r="F41" s="58"/>
      <c r="G41" s="59" cm="1">
        <f t="array" aca="1" ref="G41" ca="1">IF(G40&gt;0,G40*(IF(SUM($R$3,0.01*$M$3)&gt;0.99,0.99,$R$3+0.01*$M$3)),G40)+(($Q$3+$Q$3*S27)+IF(M41=0,$P$3*_xlfn.IFS(J41="НЕУРОЖАЙ",0.25,J41="ОБЫЧНЫЙ",1,J41="РЕКОРД",1.25,J41="",1),0))-$O$3</f>
        <v>-2036696.231087548</v>
      </c>
      <c r="H41" s="60">
        <f t="shared" ca="1" si="6"/>
        <v>-10.211178411008129</v>
      </c>
      <c r="I41" s="74">
        <f t="shared" ca="1" si="8"/>
        <v>-7.1478248877056902</v>
      </c>
      <c r="J41" s="57" t="str">
        <f t="shared" ca="1" si="9"/>
        <v/>
      </c>
      <c r="K41" s="57" t="str">
        <f t="shared" ca="1" si="19"/>
        <v/>
      </c>
      <c r="L41" t="str">
        <f t="shared" ca="1" si="20"/>
        <v/>
      </c>
      <c r="M41" s="61">
        <f t="shared" si="12"/>
        <v>2</v>
      </c>
      <c r="N41" t="str">
        <f t="shared" si="18"/>
        <v/>
      </c>
      <c r="R41" s="57">
        <v>26</v>
      </c>
      <c r="T41" s="59">
        <f t="shared" si="16"/>
        <v>-272657.8512435818</v>
      </c>
      <c r="U41" s="60">
        <f t="shared" si="13"/>
        <v>-1.3669971602606901</v>
      </c>
      <c r="V41" t="str">
        <f t="shared" si="17"/>
        <v/>
      </c>
      <c r="W41">
        <f t="shared" si="14"/>
        <v>2</v>
      </c>
      <c r="X41">
        <f t="shared" si="15"/>
        <v>26</v>
      </c>
    </row>
    <row r="42" spans="1:27" x14ac:dyDescent="0.25">
      <c r="A42" t="str">
        <f t="shared" si="7"/>
        <v/>
      </c>
      <c r="B42" s="57">
        <v>27</v>
      </c>
      <c r="C42" s="57"/>
      <c r="D42" s="57"/>
      <c r="E42" s="58"/>
      <c r="F42" s="58"/>
      <c r="G42" s="59" cm="1">
        <f t="array" aca="1" ref="G42" ca="1">IF(G41&gt;0,G41*(IF(SUM($R$3,0.01*$M$3)&gt;0.99,0.99,$R$3+0.01*$M$3)),G41)+(($Q$3+$Q$3*S28)+IF(M42=0,$P$3*_xlfn.IFS(J42="НЕУРОЖАЙ",0.25,J42="ОБЫЧНЫЙ",1,J42="РЕКОРД",1.25,J42="",1),0))-$O$3</f>
        <v>-2189894.0421708813</v>
      </c>
      <c r="H42" s="60">
        <f t="shared" ca="1" si="6"/>
        <v>-10.979250820270908</v>
      </c>
      <c r="I42" s="74">
        <f t="shared" ca="1" si="8"/>
        <v>-7.6854755741896348</v>
      </c>
      <c r="J42" s="57" t="str">
        <f t="shared" ca="1" si="9"/>
        <v/>
      </c>
      <c r="K42" s="57" t="str">
        <f t="shared" ca="1" si="19"/>
        <v/>
      </c>
      <c r="L42" t="str">
        <f t="shared" ca="1" si="20"/>
        <v/>
      </c>
      <c r="M42" s="61">
        <f t="shared" si="12"/>
        <v>3</v>
      </c>
      <c r="N42" t="str">
        <f t="shared" si="18"/>
        <v/>
      </c>
      <c r="R42" s="57">
        <v>27</v>
      </c>
      <c r="T42" s="59">
        <f t="shared" si="16"/>
        <v>-313153.74325860117</v>
      </c>
      <c r="U42" s="60">
        <f t="shared" si="13"/>
        <v>-1.5700273284156521</v>
      </c>
      <c r="V42" t="str">
        <f t="shared" si="17"/>
        <v/>
      </c>
      <c r="W42">
        <f t="shared" si="14"/>
        <v>3</v>
      </c>
      <c r="X42">
        <f t="shared" si="15"/>
        <v>27</v>
      </c>
    </row>
    <row r="43" spans="1:27" x14ac:dyDescent="0.25">
      <c r="A43" t="str">
        <f t="shared" si="7"/>
        <v/>
      </c>
      <c r="B43" s="57">
        <v>28</v>
      </c>
      <c r="C43" s="57"/>
      <c r="D43" s="57"/>
      <c r="E43" s="58"/>
      <c r="F43" s="58"/>
      <c r="G43" s="59" cm="1">
        <f t="array" aca="1" ref="G43" ca="1">IF(G42&gt;0,G42*(IF(SUM($R$3,0.01*$M$3)&gt;0.99,0.99,$R$3+0.01*$M$3)),G42)+(($Q$3+$Q$3*S29)+IF(M43=0,$P$3*_xlfn.IFS(J43="НЕУРОЖАЙ",0.25,J43="ОБЫЧНЫЙ",1,J43="РЕКОРД",1.25,J43="",1),0))-$O$3</f>
        <v>-2343091.8532542144</v>
      </c>
      <c r="H43" s="60">
        <f t="shared" ca="1" si="6"/>
        <v>-11.747323229533686</v>
      </c>
      <c r="I43" s="74">
        <f t="shared" ca="1" si="8"/>
        <v>-8.2231262606735793</v>
      </c>
      <c r="J43" s="57" t="str">
        <f t="shared" ca="1" si="9"/>
        <v/>
      </c>
      <c r="K43" s="57" t="str">
        <f t="shared" ca="1" si="19"/>
        <v/>
      </c>
      <c r="L43" t="str">
        <f t="shared" ca="1" si="20"/>
        <v/>
      </c>
      <c r="M43" s="61">
        <f t="shared" si="12"/>
        <v>4</v>
      </c>
      <c r="N43" t="str">
        <f t="shared" si="18"/>
        <v/>
      </c>
      <c r="R43" s="57">
        <v>28</v>
      </c>
      <c r="T43" s="59">
        <f t="shared" si="16"/>
        <v>-353649.63527362054</v>
      </c>
      <c r="U43" s="60">
        <f t="shared" si="13"/>
        <v>-1.7730574965706141</v>
      </c>
      <c r="V43">
        <f t="shared" si="17"/>
        <v>7</v>
      </c>
      <c r="W43">
        <f t="shared" si="14"/>
        <v>0</v>
      </c>
      <c r="X43">
        <f t="shared" si="15"/>
        <v>28</v>
      </c>
    </row>
    <row r="44" spans="1:27" x14ac:dyDescent="0.25">
      <c r="A44" t="str">
        <f t="shared" si="7"/>
        <v/>
      </c>
      <c r="B44" s="57">
        <v>29</v>
      </c>
      <c r="C44" s="57"/>
      <c r="D44" s="57"/>
      <c r="E44" s="58"/>
      <c r="F44" s="58"/>
      <c r="G44" s="59" cm="1">
        <f t="array" aca="1" ref="G44" ca="1">IF(G43&gt;0,G43*(IF(SUM($R$3,0.01*$M$3)&gt;0.99,0.99,$R$3+0.01*$M$3)),G43)+(($Q$3+$Q$3*S30)+IF(M44=0,$P$3*_xlfn.IFS(J44="НЕУРОЖАЙ",0.25,J44="ОБЫЧНЫЙ",1,J44="РЕКОРД",1.25,J44="",1),0))-$O$3</f>
        <v>-2496289.6643375475</v>
      </c>
      <c r="H44" s="60">
        <f t="shared" ca="1" si="6"/>
        <v>-12.515395638796464</v>
      </c>
      <c r="I44" s="74">
        <f t="shared" ca="1" si="8"/>
        <v>-8.7607769471575239</v>
      </c>
      <c r="J44" s="57" t="str">
        <f t="shared" ca="1" si="9"/>
        <v/>
      </c>
      <c r="K44" s="57" t="str">
        <f t="shared" ca="1" si="19"/>
        <v/>
      </c>
      <c r="L44" t="str">
        <f t="shared" ca="1" si="20"/>
        <v/>
      </c>
      <c r="M44" s="61">
        <f t="shared" si="12"/>
        <v>5</v>
      </c>
      <c r="N44" t="str">
        <f t="shared" si="18"/>
        <v/>
      </c>
      <c r="R44" s="57">
        <v>29</v>
      </c>
      <c r="T44" s="59">
        <f t="shared" si="16"/>
        <v>-394145.52728863992</v>
      </c>
      <c r="U44" s="60">
        <f t="shared" si="13"/>
        <v>-1.9760876647255761</v>
      </c>
      <c r="V44" t="str">
        <f t="shared" si="17"/>
        <v/>
      </c>
      <c r="W44">
        <f t="shared" si="14"/>
        <v>1</v>
      </c>
      <c r="X44">
        <f t="shared" si="15"/>
        <v>29</v>
      </c>
    </row>
    <row r="45" spans="1:27" x14ac:dyDescent="0.25">
      <c r="A45" t="str">
        <f t="shared" si="7"/>
        <v/>
      </c>
      <c r="B45" s="57">
        <v>30</v>
      </c>
      <c r="C45" s="57"/>
      <c r="D45" s="57"/>
      <c r="E45" s="58"/>
      <c r="F45" s="58"/>
      <c r="G45" s="59" cm="1">
        <f t="array" aca="1" ref="G45" ca="1">IF(G44&gt;0,G44*(IF(SUM($R$3,0.01*$M$3)&gt;0.99,0.99,$R$3+0.01*$M$3)),G44)+(($Q$3+$Q$3*S31)+IF(M45=0,$P$3*_xlfn.IFS(J45="НЕУРОЖАЙ",0.25,J45="ОБЫЧНЫЙ",1,J45="РЕКОРД",1.25,J45="",1),0))-$O$3</f>
        <v>-2649487.4754208806</v>
      </c>
      <c r="H45" s="60">
        <f t="shared" ca="1" si="6"/>
        <v>-13.283468048059241</v>
      </c>
      <c r="I45" s="74">
        <f t="shared" ca="1" si="8"/>
        <v>-9.2984276336414684</v>
      </c>
      <c r="J45" s="57" t="str">
        <f t="shared" ca="1" si="9"/>
        <v/>
      </c>
      <c r="K45" s="57" t="str">
        <f t="shared" ca="1" si="19"/>
        <v/>
      </c>
      <c r="L45" t="str">
        <f t="shared" ca="1" si="20"/>
        <v/>
      </c>
      <c r="M45" s="61">
        <f t="shared" si="12"/>
        <v>6</v>
      </c>
      <c r="N45" t="str">
        <f t="shared" si="18"/>
        <v/>
      </c>
      <c r="R45" s="57">
        <v>30</v>
      </c>
      <c r="T45" s="59">
        <f t="shared" si="16"/>
        <v>-434641.41930365929</v>
      </c>
      <c r="U45" s="60">
        <f t="shared" si="13"/>
        <v>-2.1791178328805381</v>
      </c>
      <c r="V45" t="str">
        <f t="shared" si="17"/>
        <v/>
      </c>
      <c r="W45">
        <f t="shared" si="14"/>
        <v>2</v>
      </c>
      <c r="X45">
        <f t="shared" si="15"/>
        <v>30</v>
      </c>
    </row>
    <row r="46" spans="1:27" x14ac:dyDescent="0.25">
      <c r="A46" t="str">
        <f t="shared" si="7"/>
        <v/>
      </c>
      <c r="B46" s="57">
        <v>31</v>
      </c>
      <c r="C46" s="57"/>
      <c r="D46" s="57"/>
      <c r="E46" s="58"/>
      <c r="F46" s="58"/>
      <c r="G46" s="59" cm="1">
        <f t="array" aca="1" ref="G46" ca="1">IF(G45&gt;0,G45*(IF(SUM($R$3,0.01*$M$3)&gt;0.99,0.99,$R$3+0.01*$M$3)),G45)+(($Q$3+$Q$3*S32)+IF(M46=0,$P$3*_xlfn.IFS(J46="НЕУРОЖАЙ",0.25,J46="ОБЫЧНЫЙ",1,J46="РЕКОРД",1.25,J46="",1),0))-$O$3</f>
        <v>-2802685.2865042137</v>
      </c>
      <c r="H46" s="60">
        <f t="shared" ca="1" si="6"/>
        <v>-14.05154045732202</v>
      </c>
      <c r="I46" s="74">
        <f t="shared" ca="1" si="8"/>
        <v>-9.8360783201254129</v>
      </c>
      <c r="J46" s="57" t="str">
        <f t="shared" ca="1" si="9"/>
        <v/>
      </c>
      <c r="K46" s="57" t="str">
        <f t="shared" ca="1" si="19"/>
        <v/>
      </c>
      <c r="L46" t="str">
        <f t="shared" ca="1" si="20"/>
        <v/>
      </c>
      <c r="M46" s="61">
        <f t="shared" si="12"/>
        <v>7</v>
      </c>
      <c r="N46" t="str">
        <f t="shared" si="18"/>
        <v/>
      </c>
      <c r="R46" s="57">
        <v>31</v>
      </c>
      <c r="T46" s="59">
        <f t="shared" si="16"/>
        <v>-475137.31131867866</v>
      </c>
      <c r="U46" s="60">
        <f t="shared" si="13"/>
        <v>-2.3821480010355001</v>
      </c>
      <c r="V46" t="str">
        <f t="shared" si="17"/>
        <v/>
      </c>
      <c r="W46">
        <f t="shared" si="14"/>
        <v>3</v>
      </c>
      <c r="X46">
        <f t="shared" si="15"/>
        <v>31</v>
      </c>
    </row>
    <row r="47" spans="1:27" x14ac:dyDescent="0.25">
      <c r="A47" t="str">
        <f t="shared" si="7"/>
        <v>АВГУСТ</v>
      </c>
      <c r="B47" s="57">
        <v>32</v>
      </c>
      <c r="C47" s="57"/>
      <c r="D47" s="57"/>
      <c r="E47" s="58"/>
      <c r="F47" s="58"/>
      <c r="G47" s="59" cm="1">
        <f t="array" aca="1" ref="G47" ca="1">IF(G46&gt;0,G46*(IF(SUM($R$3,0.01*$M$3)&gt;0.99,0.99,$R$3+0.01*$M$3)),G46)+(($Q$3+$Q$3*S33)+IF(M47=0,$P$3*_xlfn.IFS(J47="НЕУРОЖАЙ",0.25,J47="ОБЫЧНЫЙ",1,J47="РЕКОРД",1.25,J47="",1),0))-$O$3</f>
        <v>-1830883.097587547</v>
      </c>
      <c r="H47" s="60">
        <f t="shared" ca="1" si="6"/>
        <v>-9.1793138681180277</v>
      </c>
      <c r="I47" s="74">
        <f t="shared" ca="1" si="8"/>
        <v>-6.4255197076826187</v>
      </c>
      <c r="J47" s="57" t="str">
        <f t="shared" ca="1" si="9"/>
        <v>РЕКОРД</v>
      </c>
      <c r="K47" s="57">
        <f t="shared" ca="1" si="19"/>
        <v>84</v>
      </c>
      <c r="L47">
        <f t="shared" ca="1" si="20"/>
        <v>8</v>
      </c>
      <c r="M47" s="61">
        <f t="shared" si="12"/>
        <v>0</v>
      </c>
      <c r="N47">
        <f t="shared" ca="1" si="18"/>
        <v>1</v>
      </c>
      <c r="R47" s="57">
        <v>32</v>
      </c>
      <c r="T47" s="59">
        <f t="shared" ca="1" si="16"/>
        <v>384366.79666630202</v>
      </c>
      <c r="U47" s="60">
        <f t="shared" ca="1" si="13"/>
        <v>1.9270610295829551</v>
      </c>
      <c r="V47">
        <f t="shared" si="17"/>
        <v>8</v>
      </c>
      <c r="W47">
        <f t="shared" si="14"/>
        <v>0</v>
      </c>
      <c r="X47">
        <f t="shared" si="15"/>
        <v>0</v>
      </c>
      <c r="Y47" s="57" t="str">
        <f ca="1">J23</f>
        <v>ОБЫЧНЫЙ</v>
      </c>
      <c r="Z47" s="57">
        <f ca="1">K23</f>
        <v>58</v>
      </c>
      <c r="AA47" s="57">
        <f>N23</f>
        <v>34</v>
      </c>
    </row>
    <row r="48" spans="1:27" x14ac:dyDescent="0.25">
      <c r="A48" t="str">
        <f t="shared" si="7"/>
        <v/>
      </c>
      <c r="B48" s="57">
        <v>33</v>
      </c>
      <c r="C48" s="57"/>
      <c r="D48" s="57"/>
      <c r="E48" s="58"/>
      <c r="F48" s="58"/>
      <c r="G48" s="59" cm="1">
        <f t="array" aca="1" ref="G48" ca="1">IF(G47&gt;0,G47*(IF(SUM($R$3,0.01*$M$3)&gt;0.99,0.99,$R$3+0.01*$M$3)),G47)+(($Q$3+$Q$3*S34)+IF(M48=0,$P$3*_xlfn.IFS(J48="НЕУРОЖАЙ",0.25,J48="ОБЫЧНЫЙ",1,J48="РЕКОРД",1.25,J48="",1),0))-$O$3</f>
        <v>-1984080.9086708804</v>
      </c>
      <c r="H48" s="60">
        <f t="shared" ca="1" si="6"/>
        <v>-9.9473862773808079</v>
      </c>
      <c r="I48" s="74">
        <f t="shared" ca="1" si="8"/>
        <v>-6.963170394166565</v>
      </c>
      <c r="J48" s="57" t="str">
        <f t="shared" ca="1" si="9"/>
        <v/>
      </c>
      <c r="K48" s="57" t="str">
        <f t="shared" ca="1" si="19"/>
        <v/>
      </c>
      <c r="L48" t="str">
        <f t="shared" ca="1" si="20"/>
        <v/>
      </c>
      <c r="M48" s="61">
        <f t="shared" si="12"/>
        <v>1</v>
      </c>
      <c r="N48" t="str">
        <f t="shared" si="18"/>
        <v/>
      </c>
      <c r="R48" s="57">
        <v>33</v>
      </c>
      <c r="T48" s="59">
        <f t="shared" ca="1" si="16"/>
        <v>343870.90465128265</v>
      </c>
      <c r="U48" s="60">
        <f t="shared" ca="1" si="13"/>
        <v>1.7240308614279929</v>
      </c>
      <c r="V48" t="str">
        <f t="shared" si="17"/>
        <v/>
      </c>
      <c r="W48">
        <f t="shared" si="14"/>
        <v>1</v>
      </c>
      <c r="X48">
        <f t="shared" si="15"/>
        <v>1</v>
      </c>
    </row>
    <row r="49" spans="1:24" x14ac:dyDescent="0.25">
      <c r="A49" t="str">
        <f t="shared" si="7"/>
        <v/>
      </c>
      <c r="B49" s="57">
        <v>34</v>
      </c>
      <c r="C49" s="57"/>
      <c r="D49" s="57"/>
      <c r="E49" s="58"/>
      <c r="F49" s="58"/>
      <c r="G49" s="59" cm="1">
        <f t="array" aca="1" ref="G49" ca="1">IF(G48&gt;0,G48*(IF(SUM($R$3,0.01*$M$3)&gt;0.99,0.99,$R$3+0.01*$M$3)),G48)+(($Q$3+$Q$3*S35)+IF(M49=0,$P$3*_xlfn.IFS(J49="НЕУРОЖАЙ",0.25,J49="ОБЫЧНЫЙ",1,J49="РЕКОРД",1.25,J49="",1),0))-$O$3</f>
        <v>-2137278.7197542139</v>
      </c>
      <c r="H49" s="60">
        <f t="shared" ca="1" si="6"/>
        <v>-10.715458686643588</v>
      </c>
      <c r="I49" s="74">
        <f t="shared" ca="1" si="8"/>
        <v>-7.5008210806505113</v>
      </c>
      <c r="J49" s="57" t="str">
        <f t="shared" ca="1" si="9"/>
        <v/>
      </c>
      <c r="K49" s="57" t="str">
        <f t="shared" ca="1" si="19"/>
        <v/>
      </c>
      <c r="L49" t="str">
        <f t="shared" ca="1" si="20"/>
        <v/>
      </c>
      <c r="M49" s="61">
        <f t="shared" si="12"/>
        <v>2</v>
      </c>
      <c r="N49" t="str">
        <f t="shared" si="18"/>
        <v/>
      </c>
      <c r="R49" s="57">
        <v>34</v>
      </c>
      <c r="T49" s="59">
        <f t="shared" ca="1" si="16"/>
        <v>303375.01263626327</v>
      </c>
      <c r="U49" s="60">
        <f t="shared" ca="1" si="13"/>
        <v>1.5210006932730309</v>
      </c>
      <c r="V49" t="str">
        <f t="shared" si="17"/>
        <v/>
      </c>
      <c r="W49">
        <f t="shared" si="14"/>
        <v>2</v>
      </c>
      <c r="X49">
        <f t="shared" si="15"/>
        <v>2</v>
      </c>
    </row>
    <row r="50" spans="1:24" x14ac:dyDescent="0.25">
      <c r="A50" t="str">
        <f t="shared" si="7"/>
        <v/>
      </c>
      <c r="B50" s="57">
        <v>35</v>
      </c>
      <c r="C50" s="57"/>
      <c r="D50" s="57"/>
      <c r="E50" s="58"/>
      <c r="F50" s="58"/>
      <c r="G50" s="59" cm="1">
        <f t="array" aca="1" ref="G50" ca="1">IF(G49&gt;0,G49*(IF(SUM($R$3,0.01*$M$3)&gt;0.99,0.99,$R$3+0.01*$M$3)),G49)+(($Q$3+$Q$3*S36)+IF(M50=0,$P$3*_xlfn.IFS(J50="НЕУРОЖАЙ",0.25,J50="ОБЫЧНЫЙ",1,J50="РЕКОРД",1.25,J50="",1),0))-$O$3</f>
        <v>-2290476.5308375475</v>
      </c>
      <c r="H50" s="60">
        <f t="shared" ca="1" si="6"/>
        <v>-11.483531095906368</v>
      </c>
      <c r="I50" s="74">
        <f t="shared" ca="1" si="8"/>
        <v>-8.0384717671344568</v>
      </c>
      <c r="J50" s="57" t="str">
        <f t="shared" ca="1" si="9"/>
        <v/>
      </c>
      <c r="K50" s="57" t="str">
        <f t="shared" ca="1" si="19"/>
        <v/>
      </c>
      <c r="L50" t="str">
        <f t="shared" ca="1" si="20"/>
        <v/>
      </c>
      <c r="M50" s="61">
        <f t="shared" si="12"/>
        <v>3</v>
      </c>
      <c r="N50" t="str">
        <f t="shared" si="18"/>
        <v/>
      </c>
      <c r="R50" s="57">
        <v>35</v>
      </c>
      <c r="T50" s="59">
        <f t="shared" ca="1" si="16"/>
        <v>262879.1206212439</v>
      </c>
      <c r="U50" s="60">
        <f t="shared" ca="1" si="13"/>
        <v>1.3179705251180689</v>
      </c>
      <c r="V50" t="str">
        <f t="shared" si="17"/>
        <v/>
      </c>
      <c r="W50">
        <f t="shared" si="14"/>
        <v>3</v>
      </c>
      <c r="X50">
        <f t="shared" si="15"/>
        <v>3</v>
      </c>
    </row>
    <row r="51" spans="1:24" x14ac:dyDescent="0.25">
      <c r="A51" t="str">
        <f t="shared" si="7"/>
        <v/>
      </c>
      <c r="B51" s="57">
        <v>36</v>
      </c>
      <c r="C51" s="57"/>
      <c r="D51" s="57"/>
      <c r="E51" s="58"/>
      <c r="F51" s="58"/>
      <c r="G51" s="59" cm="1">
        <f t="array" aca="1" ref="G51" ca="1">IF(G50&gt;0,G50*(IF(SUM($R$3,0.01*$M$3)&gt;0.99,0.99,$R$3+0.01*$M$3)),G50)+(($Q$3+$Q$3*S37)+IF(M51=0,$P$3*_xlfn.IFS(J51="НЕУРОЖАЙ",0.25,J51="ОБЫЧНЫЙ",1,J51="РЕКОРД",1.25,J51="",1),0))-$O$3</f>
        <v>-2443674.3419208806</v>
      </c>
      <c r="H51" s="60">
        <f t="shared" ca="1" si="6"/>
        <v>-12.251603505169147</v>
      </c>
      <c r="I51" s="74">
        <f t="shared" ca="1" si="8"/>
        <v>-8.5761224536184013</v>
      </c>
      <c r="J51" s="57" t="str">
        <f t="shared" ca="1" si="9"/>
        <v/>
      </c>
      <c r="K51" s="57" t="str">
        <f t="shared" ca="1" si="19"/>
        <v/>
      </c>
      <c r="L51" t="str">
        <f t="shared" ca="1" si="20"/>
        <v/>
      </c>
      <c r="M51" s="61">
        <f t="shared" si="12"/>
        <v>4</v>
      </c>
      <c r="N51" t="str">
        <f t="shared" si="18"/>
        <v/>
      </c>
      <c r="R51" s="57">
        <v>36</v>
      </c>
      <c r="T51" s="59">
        <f t="shared" ca="1" si="16"/>
        <v>143519.4924198513</v>
      </c>
      <c r="U51" s="60">
        <f t="shared" ca="1" si="13"/>
        <v>0.71954919942768591</v>
      </c>
      <c r="V51">
        <f t="shared" si="17"/>
        <v>9</v>
      </c>
      <c r="W51">
        <f t="shared" si="14"/>
        <v>0</v>
      </c>
      <c r="X51">
        <f t="shared" si="15"/>
        <v>4</v>
      </c>
    </row>
    <row r="52" spans="1:24" x14ac:dyDescent="0.25">
      <c r="A52" t="str">
        <f t="shared" si="7"/>
        <v/>
      </c>
      <c r="B52" s="57">
        <v>37</v>
      </c>
      <c r="C52" s="57"/>
      <c r="D52" s="57"/>
      <c r="E52" s="58"/>
      <c r="F52" s="58"/>
      <c r="G52" s="59" cm="1">
        <f t="array" aca="1" ref="G52" ca="1">IF(G51&gt;0,G51*(IF(SUM($R$3,0.01*$M$3)&gt;0.99,0.99,$R$3+0.01*$M$3)),G51)+(($Q$3+$Q$3*S38)+IF(M52=0,$P$3*_xlfn.IFS(J52="НЕУРОЖАЙ",0.25,J52="ОБЫЧНЫЙ",1,J52="РЕКОРД",1.25,J52="",1),0))-$O$3</f>
        <v>-2596872.1530042137</v>
      </c>
      <c r="H52" s="60">
        <f t="shared" ca="1" si="6"/>
        <v>-13.019675914431923</v>
      </c>
      <c r="I52" s="74">
        <f t="shared" ca="1" si="8"/>
        <v>-9.1137731401023458</v>
      </c>
      <c r="J52" s="57" t="str">
        <f t="shared" ca="1" si="9"/>
        <v/>
      </c>
      <c r="K52" s="57" t="str">
        <f t="shared" ca="1" si="19"/>
        <v/>
      </c>
      <c r="L52" t="str">
        <f t="shared" ca="1" si="20"/>
        <v/>
      </c>
      <c r="M52" s="61">
        <f t="shared" si="12"/>
        <v>5</v>
      </c>
      <c r="N52" t="str">
        <f t="shared" si="18"/>
        <v/>
      </c>
      <c r="R52" s="57">
        <v>37</v>
      </c>
      <c r="T52" s="59">
        <f t="shared" ca="1" si="16"/>
        <v>103023.60040483192</v>
      </c>
      <c r="U52" s="60">
        <f t="shared" ca="1" si="13"/>
        <v>0.51651903127272381</v>
      </c>
      <c r="V52" t="str">
        <f t="shared" si="17"/>
        <v/>
      </c>
      <c r="W52">
        <f t="shared" si="14"/>
        <v>1</v>
      </c>
      <c r="X52">
        <f t="shared" si="15"/>
        <v>5</v>
      </c>
    </row>
    <row r="53" spans="1:24" x14ac:dyDescent="0.25">
      <c r="A53" t="str">
        <f t="shared" si="7"/>
        <v/>
      </c>
      <c r="B53" s="57">
        <v>38</v>
      </c>
      <c r="C53" s="57"/>
      <c r="D53" s="57"/>
      <c r="E53" s="58"/>
      <c r="F53" s="58"/>
      <c r="G53" s="59" cm="1">
        <f t="array" aca="1" ref="G53" ca="1">IF(G52&gt;0,G52*(IF(SUM($R$3,0.01*$M$3)&gt;0.99,0.99,$R$3+0.01*$M$3)),G52)+(($Q$3+$Q$3*S39)+IF(M53=0,$P$3*_xlfn.IFS(J53="НЕУРОЖАЙ",0.25,J53="ОБЫЧНЫЙ",1,J53="РЕКОРД",1.25,J53="",1),0))-$O$3</f>
        <v>-2750069.9640875468</v>
      </c>
      <c r="H53" s="60">
        <f t="shared" ca="1" si="6"/>
        <v>-13.787748323694702</v>
      </c>
      <c r="I53" s="74">
        <f t="shared" ca="1" si="8"/>
        <v>-9.6514238265862904</v>
      </c>
      <c r="J53" s="57" t="str">
        <f t="shared" ca="1" si="9"/>
        <v/>
      </c>
      <c r="K53" s="57" t="str">
        <f t="shared" ca="1" si="19"/>
        <v/>
      </c>
      <c r="L53" t="str">
        <f t="shared" ca="1" si="20"/>
        <v/>
      </c>
      <c r="M53" s="61">
        <f t="shared" si="12"/>
        <v>6</v>
      </c>
      <c r="N53" t="str">
        <f t="shared" si="18"/>
        <v/>
      </c>
      <c r="R53" s="57">
        <v>38</v>
      </c>
      <c r="T53" s="59">
        <f t="shared" ca="1" si="16"/>
        <v>62527.708389812527</v>
      </c>
      <c r="U53" s="60">
        <f t="shared" ca="1" si="13"/>
        <v>0.3134888631177617</v>
      </c>
      <c r="V53" t="str">
        <f t="shared" si="17"/>
        <v/>
      </c>
      <c r="W53">
        <f t="shared" si="14"/>
        <v>2</v>
      </c>
      <c r="X53">
        <f t="shared" si="15"/>
        <v>6</v>
      </c>
    </row>
    <row r="54" spans="1:24" x14ac:dyDescent="0.25">
      <c r="A54" t="str">
        <f t="shared" si="7"/>
        <v/>
      </c>
      <c r="B54" s="57">
        <v>39</v>
      </c>
      <c r="C54" s="57"/>
      <c r="D54" s="57"/>
      <c r="E54" s="58"/>
      <c r="F54" s="58"/>
      <c r="G54" s="59" cm="1">
        <f t="array" aca="1" ref="G54" ca="1">IF(G53&gt;0,G53*(IF(SUM($R$3,0.01*$M$3)&gt;0.99,0.99,$R$3+0.01*$M$3)),G53)+(($Q$3+$Q$3*S40)+IF(M54=0,$P$3*_xlfn.IFS(J54="НЕУРОЖАЙ",0.25,J54="ОБЫЧНЫЙ",1,J54="РЕКОРД",1.25,J54="",1),0))-$O$3</f>
        <v>-2903267.7751708799</v>
      </c>
      <c r="H54" s="60">
        <f t="shared" ca="1" si="6"/>
        <v>-14.55582073295748</v>
      </c>
      <c r="I54" s="74">
        <f t="shared" ca="1" si="8"/>
        <v>-10.189074513070235</v>
      </c>
      <c r="J54" s="57" t="str">
        <f t="shared" ca="1" si="9"/>
        <v/>
      </c>
      <c r="K54" s="57" t="str">
        <f t="shared" ca="1" si="19"/>
        <v/>
      </c>
      <c r="L54" t="str">
        <f t="shared" ca="1" si="20"/>
        <v/>
      </c>
      <c r="M54" s="61">
        <f t="shared" si="12"/>
        <v>7</v>
      </c>
      <c r="N54" t="str">
        <f t="shared" si="18"/>
        <v/>
      </c>
      <c r="R54" s="57">
        <v>39</v>
      </c>
      <c r="T54" s="59">
        <f t="shared" ca="1" si="16"/>
        <v>22031.816374793139</v>
      </c>
      <c r="U54" s="60">
        <f t="shared" ca="1" si="13"/>
        <v>0.1104586949627996</v>
      </c>
      <c r="V54" t="str">
        <f t="shared" si="17"/>
        <v/>
      </c>
      <c r="W54">
        <f t="shared" si="14"/>
        <v>3</v>
      </c>
      <c r="X54">
        <f t="shared" si="15"/>
        <v>7</v>
      </c>
    </row>
    <row r="55" spans="1:24" x14ac:dyDescent="0.25">
      <c r="A55" t="str">
        <f t="shared" si="7"/>
        <v>АВГУСТ</v>
      </c>
      <c r="B55" s="57">
        <v>40</v>
      </c>
      <c r="C55" s="57"/>
      <c r="D55" s="57"/>
      <c r="E55" s="58"/>
      <c r="F55" s="58"/>
      <c r="G55" s="59" cm="1">
        <f t="array" aca="1" ref="G55" ca="1">IF(G54&gt;0,G54*(IF(SUM($R$3,0.01*$M$3)&gt;0.99,0.99,$R$3+0.01*$M$3)),G54)+(($Q$3+$Q$3*S41)+IF(M55=0,$P$3*_xlfn.IFS(J55="НЕУРОЖАЙ",0.25,J55="ОБЫЧНЫЙ",1,J55="РЕКОРД",1.25,J55="",1),0))-$O$3</f>
        <v>-2156465.5862542135</v>
      </c>
      <c r="H55" s="60">
        <f t="shared" ca="1" si="6"/>
        <v>-10.811653943446844</v>
      </c>
      <c r="I55" s="74">
        <f t="shared" ca="1" si="8"/>
        <v>-7.5681577604127899</v>
      </c>
      <c r="J55" s="57" t="str">
        <f t="shared" ca="1" si="9"/>
        <v>ОБЫЧНЫЙ</v>
      </c>
      <c r="K55" s="57">
        <f t="shared" ca="1" si="19"/>
        <v>80</v>
      </c>
      <c r="L55">
        <f t="shared" ca="1" si="20"/>
        <v>77</v>
      </c>
      <c r="M55" s="61">
        <f t="shared" si="12"/>
        <v>0</v>
      </c>
      <c r="N55">
        <f t="shared" ca="1" si="18"/>
        <v>34</v>
      </c>
      <c r="R55" s="57">
        <v>40</v>
      </c>
      <c r="T55" s="59">
        <f t="shared" ca="1" si="16"/>
        <v>-25073.620552664186</v>
      </c>
      <c r="U55" s="60">
        <f t="shared" ca="1" si="13"/>
        <v>-0.12570908168100237</v>
      </c>
      <c r="V55">
        <f t="shared" si="17"/>
        <v>10</v>
      </c>
      <c r="W55">
        <f t="shared" si="14"/>
        <v>0</v>
      </c>
      <c r="X55">
        <f t="shared" si="15"/>
        <v>8</v>
      </c>
    </row>
    <row r="56" spans="1:24" x14ac:dyDescent="0.25">
      <c r="A56" t="str">
        <f t="shared" si="7"/>
        <v/>
      </c>
      <c r="B56" s="57">
        <v>41</v>
      </c>
      <c r="C56" s="57"/>
      <c r="D56" s="57"/>
      <c r="E56" s="58"/>
      <c r="F56" s="58"/>
      <c r="G56" s="59" cm="1">
        <f t="array" aca="1" ref="G56" ca="1">IF(G55&gt;0,G55*(IF(SUM($R$3,0.01*$M$3)&gt;0.99,0.99,$R$3+0.01*$M$3)),G55)+(($Q$3+$Q$3*S42)+IF(M56=0,$P$3*_xlfn.IFS(J56="НЕУРОЖАЙ",0.25,J56="ОБЫЧНЫЙ",1,J56="РЕКОРД",1.25,J56="",1),0))-$O$3</f>
        <v>-2309663.3973375466</v>
      </c>
      <c r="H56" s="60">
        <f t="shared" ca="1" si="6"/>
        <v>-11.579726352709622</v>
      </c>
      <c r="I56" s="74">
        <f t="shared" ca="1" si="8"/>
        <v>-8.1058084468967344</v>
      </c>
      <c r="J56" s="57" t="str">
        <f t="shared" ca="1" si="9"/>
        <v/>
      </c>
      <c r="K56" s="57" t="str">
        <f t="shared" ca="1" si="19"/>
        <v/>
      </c>
      <c r="L56" t="str">
        <f t="shared" ca="1" si="20"/>
        <v/>
      </c>
      <c r="M56" s="61">
        <f t="shared" si="12"/>
        <v>1</v>
      </c>
      <c r="N56" t="str">
        <f t="shared" si="18"/>
        <v/>
      </c>
      <c r="R56" s="57">
        <v>41</v>
      </c>
      <c r="T56" s="59">
        <f t="shared" ca="1" si="16"/>
        <v>-65569.512567683574</v>
      </c>
      <c r="U56" s="60">
        <f t="shared" ca="1" si="13"/>
        <v>-0.32873924983596448</v>
      </c>
      <c r="V56" t="str">
        <f t="shared" si="17"/>
        <v/>
      </c>
      <c r="W56">
        <f t="shared" si="14"/>
        <v>1</v>
      </c>
      <c r="X56">
        <f t="shared" si="15"/>
        <v>9</v>
      </c>
    </row>
    <row r="57" spans="1:24" x14ac:dyDescent="0.25">
      <c r="A57" t="str">
        <f t="shared" si="7"/>
        <v/>
      </c>
      <c r="B57" s="57">
        <v>42</v>
      </c>
      <c r="C57" s="57"/>
      <c r="D57" s="57"/>
      <c r="E57" s="58"/>
      <c r="F57" s="58"/>
      <c r="G57" s="59" cm="1">
        <f t="array" aca="1" ref="G57" ca="1">IF(G56&gt;0,G56*(IF(SUM($R$3,0.01*$M$3)&gt;0.99,0.99,$R$3+0.01*$M$3)),G56)+(($Q$3+$Q$3*S43)+IF(M57=0,$P$3*_xlfn.IFS(J57="НЕУРОЖАЙ",0.25,J57="ОБЫЧНЫЙ",1,J57="РЕКОРД",1.25,J57="",1),0))-$O$3</f>
        <v>-2462861.2084208797</v>
      </c>
      <c r="H57" s="60">
        <f t="shared" ca="1" si="6"/>
        <v>-12.347798761972399</v>
      </c>
      <c r="I57" s="74">
        <f t="shared" ca="1" si="8"/>
        <v>-8.6434591333806789</v>
      </c>
      <c r="J57" s="57" t="str">
        <f t="shared" ca="1" si="9"/>
        <v/>
      </c>
      <c r="K57" s="57" t="str">
        <f t="shared" ca="1" si="19"/>
        <v/>
      </c>
      <c r="L57" t="str">
        <f t="shared" ca="1" si="20"/>
        <v/>
      </c>
      <c r="M57" s="61">
        <f t="shared" si="12"/>
        <v>2</v>
      </c>
      <c r="N57" t="str">
        <f t="shared" si="18"/>
        <v/>
      </c>
      <c r="R57" s="57">
        <v>42</v>
      </c>
      <c r="T57" s="59">
        <f t="shared" ca="1" si="16"/>
        <v>-106065.40458270296</v>
      </c>
      <c r="U57" s="60">
        <f t="shared" ca="1" si="13"/>
        <v>-0.53176941799092659</v>
      </c>
      <c r="V57" t="str">
        <f t="shared" si="17"/>
        <v/>
      </c>
      <c r="W57">
        <f t="shared" si="14"/>
        <v>2</v>
      </c>
      <c r="X57">
        <f t="shared" si="15"/>
        <v>10</v>
      </c>
    </row>
    <row r="58" spans="1:24" x14ac:dyDescent="0.25">
      <c r="A58" t="str">
        <f t="shared" si="7"/>
        <v/>
      </c>
      <c r="B58" s="57">
        <v>43</v>
      </c>
      <c r="C58" s="57"/>
      <c r="D58" s="57"/>
      <c r="E58" s="58"/>
      <c r="F58" s="58"/>
      <c r="G58" s="59" cm="1">
        <f t="array" aca="1" ref="G58" ca="1">IF(G57&gt;0,G57*(IF(SUM($R$3,0.01*$M$3)&gt;0.99,0.99,$R$3+0.01*$M$3)),G57)+(($Q$3+$Q$3*S44)+IF(M58=0,$P$3*_xlfn.IFS(J58="НЕУРОЖАЙ",0.25,J58="ОБЫЧНЫЙ",1,J58="РЕКОРД",1.25,J58="",1),0))-$O$3</f>
        <v>-2616059.0195042128</v>
      </c>
      <c r="H58" s="60">
        <f t="shared" ca="1" si="6"/>
        <v>-13.115871171235177</v>
      </c>
      <c r="I58" s="74">
        <f t="shared" ca="1" si="8"/>
        <v>-9.1811098198646235</v>
      </c>
      <c r="J58" s="57" t="str">
        <f t="shared" ca="1" si="9"/>
        <v/>
      </c>
      <c r="K58" s="57" t="str">
        <f t="shared" ca="1" si="19"/>
        <v/>
      </c>
      <c r="L58" t="str">
        <f t="shared" ca="1" si="20"/>
        <v/>
      </c>
      <c r="M58" s="61">
        <f t="shared" si="12"/>
        <v>3</v>
      </c>
      <c r="N58" t="str">
        <f t="shared" si="18"/>
        <v/>
      </c>
      <c r="R58" s="57">
        <v>43</v>
      </c>
      <c r="T58" s="59">
        <f t="shared" ca="1" si="16"/>
        <v>-146561.29659772234</v>
      </c>
      <c r="U58" s="60">
        <f t="shared" ca="1" si="13"/>
        <v>-0.73479958614588858</v>
      </c>
      <c r="V58" t="str">
        <f t="shared" si="17"/>
        <v/>
      </c>
      <c r="W58">
        <f t="shared" si="14"/>
        <v>3</v>
      </c>
      <c r="X58">
        <f t="shared" si="15"/>
        <v>11</v>
      </c>
    </row>
    <row r="59" spans="1:24" x14ac:dyDescent="0.25">
      <c r="A59" t="str">
        <f t="shared" si="7"/>
        <v/>
      </c>
      <c r="B59" s="57">
        <v>44</v>
      </c>
      <c r="C59" s="57"/>
      <c r="D59" s="57"/>
      <c r="E59" s="58"/>
      <c r="F59" s="58"/>
      <c r="G59" s="59" cm="1">
        <f t="array" aca="1" ref="G59" ca="1">IF(G58&gt;0,G58*(IF(SUM($R$3,0.01*$M$3)&gt;0.99,0.99,$R$3+0.01*$M$3)),G58)+(($Q$3+$Q$3*S45)+IF(M59=0,$P$3*_xlfn.IFS(J59="НЕУРОЖАЙ",0.25,J59="ОБЫЧНЫЙ",1,J59="РЕКОРД",1.25,J59="",1),0))-$O$3</f>
        <v>-2769256.8305875459</v>
      </c>
      <c r="H59" s="60">
        <f t="shared" ca="1" si="6"/>
        <v>-13.883943580497956</v>
      </c>
      <c r="I59" s="74">
        <f t="shared" ca="1" si="8"/>
        <v>-9.718760506348568</v>
      </c>
      <c r="J59" s="57" t="str">
        <f t="shared" ca="1" si="9"/>
        <v/>
      </c>
      <c r="K59" s="57" t="str">
        <f t="shared" ca="1" si="19"/>
        <v/>
      </c>
      <c r="L59" t="str">
        <f t="shared" ca="1" si="20"/>
        <v/>
      </c>
      <c r="M59" s="61">
        <f t="shared" si="12"/>
        <v>4</v>
      </c>
      <c r="N59" t="str">
        <f t="shared" si="18"/>
        <v/>
      </c>
      <c r="R59" s="57">
        <v>44</v>
      </c>
      <c r="T59" s="59">
        <f t="shared" ca="1" si="16"/>
        <v>-187057.18861274171</v>
      </c>
      <c r="U59" s="60">
        <f t="shared" ca="1" si="13"/>
        <v>-0.93782975430085069</v>
      </c>
      <c r="V59">
        <f t="shared" si="17"/>
        <v>11</v>
      </c>
      <c r="W59">
        <f t="shared" si="14"/>
        <v>0</v>
      </c>
      <c r="X59">
        <f t="shared" si="15"/>
        <v>12</v>
      </c>
    </row>
    <row r="60" spans="1:24" x14ac:dyDescent="0.25">
      <c r="A60" t="str">
        <f t="shared" si="7"/>
        <v/>
      </c>
      <c r="B60" s="57">
        <v>45</v>
      </c>
      <c r="C60" s="57"/>
      <c r="D60" s="57"/>
      <c r="E60" s="58"/>
      <c r="F60" s="58"/>
      <c r="G60" s="59" cm="1">
        <f t="array" aca="1" ref="G60" ca="1">IF(G59&gt;0,G59*(IF(SUM($R$3,0.01*$M$3)&gt;0.99,0.99,$R$3+0.01*$M$3)),G59)+(($Q$3+$Q$3*S46)+IF(M60=0,$P$3*_xlfn.IFS(J60="НЕУРОЖАЙ",0.25,J60="ОБЫЧНЫЙ",1,J60="РЕКОРД",1.25,J60="",1),0))-$O$3</f>
        <v>-2922454.641670879</v>
      </c>
      <c r="H60" s="60">
        <f t="shared" ca="1" si="6"/>
        <v>-14.652015989760734</v>
      </c>
      <c r="I60" s="74">
        <f t="shared" ca="1" si="8"/>
        <v>-10.256411192832513</v>
      </c>
      <c r="J60" s="57" t="str">
        <f t="shared" ca="1" si="9"/>
        <v/>
      </c>
      <c r="K60" s="57" t="str">
        <f t="shared" ca="1" si="19"/>
        <v/>
      </c>
      <c r="L60" t="str">
        <f t="shared" ca="1" si="20"/>
        <v/>
      </c>
      <c r="M60" s="61">
        <f t="shared" si="12"/>
        <v>5</v>
      </c>
      <c r="N60" t="str">
        <f t="shared" si="18"/>
        <v/>
      </c>
      <c r="R60" s="57">
        <v>45</v>
      </c>
      <c r="T60" s="59">
        <f t="shared" ca="1" si="16"/>
        <v>-227553.08062776108</v>
      </c>
      <c r="U60" s="60">
        <f t="shared" ca="1" si="13"/>
        <v>-1.1408599224558127</v>
      </c>
      <c r="V60" t="str">
        <f t="shared" si="17"/>
        <v/>
      </c>
      <c r="W60">
        <f t="shared" si="14"/>
        <v>1</v>
      </c>
      <c r="X60">
        <f t="shared" si="15"/>
        <v>13</v>
      </c>
    </row>
    <row r="61" spans="1:24" x14ac:dyDescent="0.25">
      <c r="A61" t="str">
        <f t="shared" si="7"/>
        <v/>
      </c>
      <c r="B61" s="57">
        <v>46</v>
      </c>
      <c r="C61" s="57"/>
      <c r="D61" s="57"/>
      <c r="E61" s="58"/>
      <c r="F61" s="58"/>
      <c r="G61" s="59" cm="1">
        <f t="array" aca="1" ref="G61" ca="1">IF(G60&gt;0,G60*(IF(SUM($R$3,0.01*$M$3)&gt;0.99,0.99,$R$3+0.01*$M$3)),G60)+(($Q$3+$Q$3*S47)+IF(M61=0,$P$3*_xlfn.IFS(J61="НЕУРОЖАЙ",0.25,J61="ОБЫЧНЫЙ",1,J61="РЕКОРД",1.25,J61="",1),0))-$O$3</f>
        <v>-3075652.4527542121</v>
      </c>
      <c r="H61" s="60">
        <f t="shared" ca="1" si="6"/>
        <v>-15.420088399023513</v>
      </c>
      <c r="I61" s="74">
        <f t="shared" ca="1" si="8"/>
        <v>-10.794061879316459</v>
      </c>
      <c r="J61" s="57" t="str">
        <f t="shared" ca="1" si="9"/>
        <v/>
      </c>
      <c r="K61" s="57" t="str">
        <f t="shared" ca="1" si="19"/>
        <v/>
      </c>
      <c r="L61" t="str">
        <f t="shared" ca="1" si="20"/>
        <v/>
      </c>
      <c r="M61" s="61">
        <f t="shared" si="12"/>
        <v>6</v>
      </c>
      <c r="N61" t="str">
        <f t="shared" si="18"/>
        <v/>
      </c>
      <c r="R61" s="57">
        <v>46</v>
      </c>
      <c r="T61" s="59">
        <f t="shared" ca="1" si="16"/>
        <v>-268048.97264278046</v>
      </c>
      <c r="U61" s="60">
        <f t="shared" ca="1" si="13"/>
        <v>-1.3438900906107747</v>
      </c>
      <c r="V61" t="str">
        <f t="shared" si="17"/>
        <v/>
      </c>
      <c r="W61">
        <f t="shared" si="14"/>
        <v>2</v>
      </c>
      <c r="X61">
        <f t="shared" si="15"/>
        <v>14</v>
      </c>
    </row>
    <row r="62" spans="1:24" x14ac:dyDescent="0.25">
      <c r="A62" t="str">
        <f t="shared" si="7"/>
        <v/>
      </c>
      <c r="B62" s="57">
        <v>47</v>
      </c>
      <c r="C62" s="57"/>
      <c r="D62" s="57"/>
      <c r="E62" s="58"/>
      <c r="F62" s="58"/>
      <c r="G62" s="59" cm="1">
        <f t="array" aca="1" ref="G62" ca="1">IF(G61&gt;0,G61*(IF(SUM($R$3,0.01*$M$3)&gt;0.99,0.99,$R$3+0.01*$M$3)),G61)+(($Q$3+$Q$3*S48)+IF(M62=0,$P$3*_xlfn.IFS(J62="НЕУРОЖАЙ",0.25,J62="ОБЫЧНЫЙ",1,J62="РЕКОРД",1.25,J62="",1),0))-$O$3</f>
        <v>-3228850.2638375452</v>
      </c>
      <c r="H62" s="60">
        <f t="shared" ca="1" si="6"/>
        <v>-16.188160808286291</v>
      </c>
      <c r="I62" s="74">
        <f t="shared" ca="1" si="8"/>
        <v>-11.331712565800403</v>
      </c>
      <c r="J62" s="57" t="str">
        <f t="shared" ca="1" si="9"/>
        <v/>
      </c>
      <c r="K62" s="57" t="str">
        <f t="shared" ca="1" si="19"/>
        <v/>
      </c>
      <c r="L62" t="str">
        <f t="shared" ca="1" si="20"/>
        <v/>
      </c>
      <c r="M62" s="61">
        <f t="shared" si="12"/>
        <v>7</v>
      </c>
      <c r="N62" t="str">
        <f t="shared" si="18"/>
        <v/>
      </c>
      <c r="R62" s="57">
        <v>47</v>
      </c>
      <c r="T62" s="59">
        <f t="shared" ca="1" si="16"/>
        <v>-308544.86465779983</v>
      </c>
      <c r="U62" s="60">
        <f t="shared" ca="1" si="13"/>
        <v>-1.5469202587657367</v>
      </c>
      <c r="V62" t="str">
        <f t="shared" si="17"/>
        <v/>
      </c>
      <c r="W62">
        <f t="shared" si="14"/>
        <v>3</v>
      </c>
      <c r="X62">
        <f t="shared" si="15"/>
        <v>15</v>
      </c>
    </row>
    <row r="63" spans="1:24" x14ac:dyDescent="0.25">
      <c r="A63" t="str">
        <f t="shared" si="7"/>
        <v>АВГУСТ</v>
      </c>
      <c r="B63" s="57">
        <v>48</v>
      </c>
      <c r="C63" s="57"/>
      <c r="D63" s="57"/>
      <c r="E63" s="58"/>
      <c r="F63" s="58"/>
      <c r="G63" s="59" cm="1">
        <f t="array" aca="1" ref="G63" ca="1">IF(G62&gt;0,G62*(IF(SUM($R$3,0.01*$M$3)&gt;0.99,0.99,$R$3+0.01*$M$3)),G62)+(($Q$3+$Q$3*S49)+IF(M63=0,$P$3*_xlfn.IFS(J63="НЕУРОЖАЙ",0.25,J63="ОБЫЧНЫЙ",1,J63="РЕКОРД",1.25,J63="",1),0))-$O$3</f>
        <v>-3157048.0749208783</v>
      </c>
      <c r="H63" s="60">
        <f t="shared" ca="1" si="6"/>
        <v>-15.828173417855714</v>
      </c>
      <c r="I63" s="74">
        <f t="shared" ca="1" si="8"/>
        <v>-11.079721392499</v>
      </c>
      <c r="J63" s="57" t="str">
        <f ca="1">_xlfn.IFS(AND(K63&gt;0,K63&lt;34),"НЕУРОЖАЙ",AND(L63&gt;0,L63&lt;11),"РЕКОРД",NOT(M63=0),"",AND(K63&gt;33,L63&gt;10),"ОБЫЧНЫЙ")</f>
        <v>НЕУРОЖАЙ</v>
      </c>
      <c r="K63" s="57">
        <f t="shared" ca="1" si="19"/>
        <v>22</v>
      </c>
      <c r="L63" t="str">
        <f t="shared" ca="1" si="20"/>
        <v/>
      </c>
      <c r="M63" s="61">
        <f t="shared" si="12"/>
        <v>0</v>
      </c>
      <c r="N63">
        <f ca="1">IF(M63=0,IF(J55="НЕУРОЖАЙ",1,N55+33),"")</f>
        <v>67</v>
      </c>
      <c r="R63" s="57">
        <v>48</v>
      </c>
      <c r="T63" s="59">
        <f t="shared" ca="1" si="16"/>
        <v>-349040.7566728192</v>
      </c>
      <c r="U63" s="60">
        <f t="shared" ca="1" si="13"/>
        <v>-1.7499504269206989</v>
      </c>
      <c r="V63">
        <f t="shared" si="17"/>
        <v>12</v>
      </c>
      <c r="W63">
        <f t="shared" si="14"/>
        <v>0</v>
      </c>
      <c r="X63">
        <f t="shared" si="15"/>
        <v>16</v>
      </c>
    </row>
    <row r="64" spans="1:24" x14ac:dyDescent="0.25">
      <c r="R64" s="57">
        <v>49</v>
      </c>
      <c r="T64" s="59">
        <f t="shared" ca="1" si="16"/>
        <v>-389536.64868783858</v>
      </c>
      <c r="U64" s="60">
        <f t="shared" ca="1" si="13"/>
        <v>-1.9529805950756609</v>
      </c>
      <c r="V64" t="str">
        <f t="shared" si="17"/>
        <v/>
      </c>
      <c r="W64">
        <f t="shared" si="14"/>
        <v>1</v>
      </c>
      <c r="X64">
        <f t="shared" si="15"/>
        <v>17</v>
      </c>
    </row>
    <row r="65" spans="5:27" x14ac:dyDescent="0.25">
      <c r="R65" s="57">
        <v>50</v>
      </c>
      <c r="T65" s="59">
        <f t="shared" ca="1" si="16"/>
        <v>-430032.54070285795</v>
      </c>
      <c r="U65" s="60">
        <f t="shared" ca="1" si="13"/>
        <v>-2.1560107632306229</v>
      </c>
      <c r="V65" t="str">
        <f t="shared" si="17"/>
        <v/>
      </c>
      <c r="W65">
        <f t="shared" si="14"/>
        <v>2</v>
      </c>
      <c r="X65">
        <f t="shared" si="15"/>
        <v>18</v>
      </c>
    </row>
    <row r="66" spans="5:27" x14ac:dyDescent="0.25">
      <c r="R66" s="57">
        <v>51</v>
      </c>
      <c r="T66" s="59">
        <f t="shared" ca="1" si="16"/>
        <v>-470528.43271787732</v>
      </c>
      <c r="U66" s="60">
        <f t="shared" ca="1" si="13"/>
        <v>-2.3590409313855849</v>
      </c>
      <c r="V66" t="str">
        <f t="shared" si="17"/>
        <v/>
      </c>
      <c r="W66">
        <f t="shared" si="14"/>
        <v>3</v>
      </c>
      <c r="X66">
        <f t="shared" si="15"/>
        <v>19</v>
      </c>
    </row>
    <row r="67" spans="5:27" x14ac:dyDescent="0.25">
      <c r="R67" s="57">
        <v>52</v>
      </c>
      <c r="T67" s="59">
        <f t="shared" ca="1" si="16"/>
        <v>-511024.3247328967</v>
      </c>
      <c r="U67" s="60">
        <f t="shared" ca="1" si="13"/>
        <v>-2.5620710995405469</v>
      </c>
      <c r="V67">
        <f t="shared" si="17"/>
        <v>13</v>
      </c>
      <c r="W67">
        <f t="shared" si="14"/>
        <v>0</v>
      </c>
      <c r="X67">
        <f t="shared" si="15"/>
        <v>20</v>
      </c>
    </row>
    <row r="68" spans="5:27" x14ac:dyDescent="0.25">
      <c r="R68" s="57">
        <v>53</v>
      </c>
      <c r="T68" s="59">
        <f t="shared" ca="1" si="16"/>
        <v>-551520.21674791607</v>
      </c>
      <c r="U68" s="60">
        <f t="shared" ca="1" si="13"/>
        <v>-2.7651012676955089</v>
      </c>
      <c r="V68" t="str">
        <f t="shared" si="17"/>
        <v/>
      </c>
      <c r="W68">
        <f t="shared" si="14"/>
        <v>1</v>
      </c>
      <c r="X68">
        <f t="shared" si="15"/>
        <v>21</v>
      </c>
    </row>
    <row r="69" spans="5:27" x14ac:dyDescent="0.25">
      <c r="R69" s="57">
        <v>54</v>
      </c>
      <c r="T69" s="59">
        <f t="shared" ca="1" si="16"/>
        <v>-592016.10876293539</v>
      </c>
      <c r="U69" s="60">
        <f t="shared" ca="1" si="13"/>
        <v>-2.9681314358504709</v>
      </c>
      <c r="V69" t="str">
        <f t="shared" si="17"/>
        <v/>
      </c>
      <c r="W69">
        <f t="shared" si="14"/>
        <v>2</v>
      </c>
      <c r="X69">
        <f t="shared" si="15"/>
        <v>22</v>
      </c>
    </row>
    <row r="70" spans="5:27" x14ac:dyDescent="0.25">
      <c r="R70" s="57">
        <v>55</v>
      </c>
      <c r="T70" s="59">
        <f t="shared" ca="1" si="16"/>
        <v>-632512.0007779547</v>
      </c>
      <c r="U70" s="60">
        <f t="shared" ca="1" si="13"/>
        <v>-3.1711616040054325</v>
      </c>
      <c r="V70" t="str">
        <f t="shared" si="17"/>
        <v/>
      </c>
      <c r="W70">
        <f t="shared" si="14"/>
        <v>3</v>
      </c>
      <c r="X70">
        <f t="shared" si="15"/>
        <v>23</v>
      </c>
    </row>
    <row r="71" spans="5:27" x14ac:dyDescent="0.25">
      <c r="R71" s="57">
        <v>56</v>
      </c>
      <c r="T71" s="59">
        <f t="shared" ca="1" si="16"/>
        <v>-673007.89279297402</v>
      </c>
      <c r="U71" s="60">
        <f t="shared" ca="1" si="13"/>
        <v>-3.3741917721603945</v>
      </c>
      <c r="V71">
        <f t="shared" si="17"/>
        <v>14</v>
      </c>
      <c r="W71">
        <f t="shared" si="14"/>
        <v>0</v>
      </c>
      <c r="X71">
        <f t="shared" si="15"/>
        <v>24</v>
      </c>
    </row>
    <row r="72" spans="5:27" x14ac:dyDescent="0.25">
      <c r="R72" s="57">
        <v>57</v>
      </c>
      <c r="T72" s="59">
        <f t="shared" ca="1" si="16"/>
        <v>-713503.78480799333</v>
      </c>
      <c r="U72" s="60">
        <f t="shared" ca="1" si="13"/>
        <v>-3.577221940315356</v>
      </c>
      <c r="V72" t="str">
        <f t="shared" si="17"/>
        <v/>
      </c>
      <c r="W72">
        <f t="shared" si="14"/>
        <v>1</v>
      </c>
      <c r="X72">
        <f t="shared" si="15"/>
        <v>25</v>
      </c>
    </row>
    <row r="73" spans="5:27" x14ac:dyDescent="0.25">
      <c r="R73" s="57">
        <v>58</v>
      </c>
      <c r="T73" s="59">
        <f t="shared" ca="1" si="16"/>
        <v>-753999.67682301265</v>
      </c>
      <c r="U73" s="60">
        <f t="shared" ca="1" si="13"/>
        <v>-3.7802521084703176</v>
      </c>
      <c r="V73" t="str">
        <f t="shared" si="17"/>
        <v/>
      </c>
      <c r="W73">
        <f t="shared" si="14"/>
        <v>2</v>
      </c>
      <c r="X73">
        <f t="shared" si="15"/>
        <v>26</v>
      </c>
    </row>
    <row r="74" spans="5:27" x14ac:dyDescent="0.25">
      <c r="R74" s="57">
        <v>59</v>
      </c>
      <c r="T74" s="59">
        <f t="shared" ca="1" si="16"/>
        <v>-794495.56883803196</v>
      </c>
      <c r="U74" s="60">
        <f t="shared" ca="1" si="13"/>
        <v>-3.9832822766252796</v>
      </c>
      <c r="V74" t="str">
        <f t="shared" si="17"/>
        <v/>
      </c>
      <c r="W74">
        <f t="shared" si="14"/>
        <v>3</v>
      </c>
      <c r="X74">
        <f t="shared" si="15"/>
        <v>27</v>
      </c>
    </row>
    <row r="75" spans="5:27" x14ac:dyDescent="0.25">
      <c r="R75" s="57">
        <v>60</v>
      </c>
      <c r="T75" s="59">
        <f t="shared" ca="1" si="16"/>
        <v>-834991.46085305128</v>
      </c>
      <c r="U75" s="60">
        <f t="shared" ca="1" si="13"/>
        <v>-4.1863124447802411</v>
      </c>
      <c r="V75">
        <f t="shared" si="17"/>
        <v>15</v>
      </c>
      <c r="W75">
        <f t="shared" si="14"/>
        <v>0</v>
      </c>
      <c r="X75">
        <f t="shared" si="15"/>
        <v>28</v>
      </c>
    </row>
    <row r="76" spans="5:27" x14ac:dyDescent="0.25">
      <c r="R76" s="57">
        <v>61</v>
      </c>
      <c r="T76" s="59">
        <f t="shared" ca="1" si="16"/>
        <v>-875487.35286807059</v>
      </c>
      <c r="U76" s="60">
        <f t="shared" ca="1" si="13"/>
        <v>-4.3893426129352031</v>
      </c>
      <c r="V76" t="str">
        <f t="shared" si="17"/>
        <v/>
      </c>
      <c r="W76">
        <f t="shared" si="14"/>
        <v>1</v>
      </c>
      <c r="X76">
        <f t="shared" si="15"/>
        <v>29</v>
      </c>
    </row>
    <row r="77" spans="5:27" x14ac:dyDescent="0.25">
      <c r="R77" s="57">
        <v>62</v>
      </c>
      <c r="T77" s="59">
        <f t="shared" ca="1" si="16"/>
        <v>-915983.24488308991</v>
      </c>
      <c r="U77" s="60">
        <f t="shared" ca="1" si="13"/>
        <v>-4.5923727810901651</v>
      </c>
      <c r="V77" t="str">
        <f t="shared" si="17"/>
        <v/>
      </c>
      <c r="W77">
        <f t="shared" si="14"/>
        <v>2</v>
      </c>
      <c r="X77">
        <f t="shared" si="15"/>
        <v>30</v>
      </c>
    </row>
    <row r="78" spans="5:27" x14ac:dyDescent="0.25">
      <c r="E78" s="59">
        <v>5555555</v>
      </c>
      <c r="F78" s="45">
        <f>E78*0.3</f>
        <v>1666666.5</v>
      </c>
      <c r="R78" s="57">
        <v>63</v>
      </c>
      <c r="T78" s="59">
        <f t="shared" ca="1" si="16"/>
        <v>-956479.13689810922</v>
      </c>
      <c r="U78" s="60">
        <f t="shared" ca="1" si="13"/>
        <v>-4.7954029492451262</v>
      </c>
      <c r="V78" t="str">
        <f t="shared" si="17"/>
        <v/>
      </c>
      <c r="W78">
        <f t="shared" si="14"/>
        <v>3</v>
      </c>
      <c r="X78">
        <f t="shared" si="15"/>
        <v>31</v>
      </c>
    </row>
    <row r="79" spans="5:27" x14ac:dyDescent="0.25">
      <c r="E79" s="45">
        <f>E78+1234567</f>
        <v>6790122</v>
      </c>
      <c r="F79" s="45">
        <f>E79-F78</f>
        <v>5123455.5</v>
      </c>
      <c r="R79" s="57">
        <v>64</v>
      </c>
      <c r="T79" s="59">
        <f t="shared" ca="1" si="16"/>
        <v>-771975.02891312854</v>
      </c>
      <c r="U79" s="60">
        <f t="shared" ca="1" si="13"/>
        <v>-3.8703733177067341</v>
      </c>
      <c r="V79">
        <f t="shared" si="17"/>
        <v>16</v>
      </c>
      <c r="W79">
        <f t="shared" si="14"/>
        <v>0</v>
      </c>
      <c r="X79">
        <f t="shared" si="15"/>
        <v>0</v>
      </c>
      <c r="Y79" s="57" t="str">
        <f ca="1">J31</f>
        <v>НЕУРОЖАЙ</v>
      </c>
      <c r="Z79" s="57">
        <f ca="1">K31</f>
        <v>32</v>
      </c>
      <c r="AA79" s="57">
        <f ca="1">N31</f>
        <v>67</v>
      </c>
    </row>
    <row r="80" spans="5:27" x14ac:dyDescent="0.25">
      <c r="R80" s="57">
        <v>65</v>
      </c>
      <c r="T80" s="59">
        <f t="shared" ca="1" si="16"/>
        <v>-812470.92092814785</v>
      </c>
      <c r="U80" s="60">
        <f t="shared" ca="1" si="13"/>
        <v>-4.0734034858616956</v>
      </c>
      <c r="V80" t="str">
        <f t="shared" si="17"/>
        <v/>
      </c>
      <c r="W80">
        <f t="shared" si="14"/>
        <v>1</v>
      </c>
      <c r="X80">
        <f t="shared" si="15"/>
        <v>1</v>
      </c>
    </row>
    <row r="81" spans="18:24" x14ac:dyDescent="0.25">
      <c r="R81" s="57">
        <v>66</v>
      </c>
      <c r="T81" s="59">
        <f t="shared" ca="1" si="16"/>
        <v>-852966.81294316717</v>
      </c>
      <c r="U81" s="60">
        <f t="shared" ref="U81:U144" ca="1" si="21">T81/$O$3</f>
        <v>-4.2764336540166576</v>
      </c>
      <c r="V81" t="str">
        <f t="shared" si="17"/>
        <v/>
      </c>
      <c r="W81">
        <f t="shared" ref="W81:W144" si="22">MOD(R81,4)</f>
        <v>2</v>
      </c>
      <c r="X81">
        <f t="shared" ref="X81:X95" si="23">MOD(R81,32)</f>
        <v>2</v>
      </c>
    </row>
    <row r="82" spans="18:24" x14ac:dyDescent="0.25">
      <c r="R82" s="57">
        <v>67</v>
      </c>
      <c r="T82" s="59">
        <f t="shared" ref="T82:T145" ca="1" si="24">IF(AND(T81&gt;0,W82=0),T81*(IF(SUM($R$3,0.01*$M$3)&gt;0.99,0.99,$R$3+0.01*$M$3)),T81)+((($Q$3+$Q$3*$S$3)/4)+(IF(X82=0,$P$3*_xlfn.IFS(Y82="НЕУРОЖАЙ",0.25,Y82="ОБЫЧНЫЙ",1,Y82="РЕКОРД",1.25,Y82="",1),0)))-($O$3/4)</f>
        <v>-893462.70495818648</v>
      </c>
      <c r="U82" s="60">
        <f t="shared" ca="1" si="21"/>
        <v>-4.4794638221716188</v>
      </c>
      <c r="V82" t="str">
        <f t="shared" si="17"/>
        <v/>
      </c>
      <c r="W82">
        <f t="shared" si="22"/>
        <v>3</v>
      </c>
      <c r="X82">
        <f t="shared" si="23"/>
        <v>3</v>
      </c>
    </row>
    <row r="83" spans="18:24" x14ac:dyDescent="0.25">
      <c r="R83" s="57">
        <v>68</v>
      </c>
      <c r="T83" s="59">
        <f t="shared" ca="1" si="24"/>
        <v>-933958.5969732058</v>
      </c>
      <c r="U83" s="60">
        <f t="shared" ca="1" si="21"/>
        <v>-4.6824939903265808</v>
      </c>
      <c r="V83">
        <f t="shared" si="17"/>
        <v>17</v>
      </c>
      <c r="W83">
        <f t="shared" si="22"/>
        <v>0</v>
      </c>
      <c r="X83">
        <f t="shared" si="23"/>
        <v>4</v>
      </c>
    </row>
    <row r="84" spans="18:24" x14ac:dyDescent="0.25">
      <c r="R84" s="57">
        <v>69</v>
      </c>
      <c r="T84" s="59">
        <f t="shared" ca="1" si="24"/>
        <v>-974454.48898822512</v>
      </c>
      <c r="U84" s="60">
        <f t="shared" ca="1" si="21"/>
        <v>-4.8855241584815428</v>
      </c>
      <c r="V84" t="str">
        <f t="shared" ref="V84:V147" si="25">IF(W84=0,V80+1,"")</f>
        <v/>
      </c>
      <c r="W84">
        <f t="shared" si="22"/>
        <v>1</v>
      </c>
      <c r="X84">
        <f t="shared" si="23"/>
        <v>5</v>
      </c>
    </row>
    <row r="85" spans="18:24" x14ac:dyDescent="0.25">
      <c r="R85" s="57">
        <v>70</v>
      </c>
      <c r="T85" s="59">
        <f t="shared" ca="1" si="24"/>
        <v>-1014950.3810032444</v>
      </c>
      <c r="U85" s="60">
        <f t="shared" ca="1" si="21"/>
        <v>-5.0885543266365048</v>
      </c>
      <c r="V85" t="str">
        <f t="shared" si="25"/>
        <v/>
      </c>
      <c r="W85">
        <f t="shared" si="22"/>
        <v>2</v>
      </c>
      <c r="X85">
        <f t="shared" si="23"/>
        <v>6</v>
      </c>
    </row>
    <row r="86" spans="18:24" x14ac:dyDescent="0.25">
      <c r="R86" s="57">
        <v>71</v>
      </c>
      <c r="T86" s="59">
        <f t="shared" ca="1" si="24"/>
        <v>-1055446.2730182637</v>
      </c>
      <c r="U86" s="60">
        <f t="shared" ca="1" si="21"/>
        <v>-5.2915844947914659</v>
      </c>
      <c r="V86" t="str">
        <f t="shared" si="25"/>
        <v/>
      </c>
      <c r="W86">
        <f t="shared" si="22"/>
        <v>3</v>
      </c>
      <c r="X86">
        <f t="shared" si="23"/>
        <v>7</v>
      </c>
    </row>
    <row r="87" spans="18:24" x14ac:dyDescent="0.25">
      <c r="R87" s="57">
        <v>72</v>
      </c>
      <c r="T87" s="59">
        <f t="shared" ca="1" si="24"/>
        <v>-1095942.1650332832</v>
      </c>
      <c r="U87" s="60">
        <f t="shared" ca="1" si="21"/>
        <v>-5.4946146629464288</v>
      </c>
      <c r="V87">
        <f t="shared" si="25"/>
        <v>18</v>
      </c>
      <c r="W87">
        <f t="shared" si="22"/>
        <v>0</v>
      </c>
      <c r="X87">
        <f t="shared" si="23"/>
        <v>8</v>
      </c>
    </row>
    <row r="88" spans="18:24" x14ac:dyDescent="0.25">
      <c r="R88" s="57">
        <v>73</v>
      </c>
      <c r="T88" s="59">
        <f t="shared" ca="1" si="24"/>
        <v>-1136438.0570483026</v>
      </c>
      <c r="U88" s="60">
        <f t="shared" ca="1" si="21"/>
        <v>-5.6976448311013907</v>
      </c>
      <c r="V88" t="str">
        <f t="shared" si="25"/>
        <v/>
      </c>
      <c r="W88">
        <f t="shared" si="22"/>
        <v>1</v>
      </c>
      <c r="X88">
        <f t="shared" si="23"/>
        <v>9</v>
      </c>
    </row>
    <row r="89" spans="18:24" x14ac:dyDescent="0.25">
      <c r="R89" s="57">
        <v>74</v>
      </c>
      <c r="T89" s="59">
        <f t="shared" ca="1" si="24"/>
        <v>-1176933.949063322</v>
      </c>
      <c r="U89" s="60">
        <f t="shared" ca="1" si="21"/>
        <v>-5.9006749992563527</v>
      </c>
      <c r="V89" t="str">
        <f t="shared" si="25"/>
        <v/>
      </c>
      <c r="W89">
        <f t="shared" si="22"/>
        <v>2</v>
      </c>
      <c r="X89">
        <f t="shared" si="23"/>
        <v>10</v>
      </c>
    </row>
    <row r="90" spans="18:24" x14ac:dyDescent="0.25">
      <c r="R90" s="57">
        <v>75</v>
      </c>
      <c r="T90" s="59">
        <f t="shared" ca="1" si="24"/>
        <v>-1217429.8410783415</v>
      </c>
      <c r="U90" s="60">
        <f t="shared" ca="1" si="21"/>
        <v>-6.1037051674113156</v>
      </c>
      <c r="V90" t="str">
        <f t="shared" si="25"/>
        <v/>
      </c>
      <c r="W90">
        <f t="shared" si="22"/>
        <v>3</v>
      </c>
      <c r="X90">
        <f t="shared" si="23"/>
        <v>11</v>
      </c>
    </row>
    <row r="91" spans="18:24" x14ac:dyDescent="0.25">
      <c r="R91" s="57">
        <v>76</v>
      </c>
      <c r="T91" s="59">
        <f t="shared" ca="1" si="24"/>
        <v>-1257925.7330933609</v>
      </c>
      <c r="U91" s="60">
        <f t="shared" ca="1" si="21"/>
        <v>-6.3067353355662776</v>
      </c>
      <c r="V91">
        <f t="shared" si="25"/>
        <v>19</v>
      </c>
      <c r="W91">
        <f t="shared" si="22"/>
        <v>0</v>
      </c>
      <c r="X91">
        <f t="shared" si="23"/>
        <v>12</v>
      </c>
    </row>
    <row r="92" spans="18:24" x14ac:dyDescent="0.25">
      <c r="R92" s="57">
        <v>77</v>
      </c>
      <c r="T92" s="59">
        <f t="shared" ca="1" si="24"/>
        <v>-1298421.6251083803</v>
      </c>
      <c r="U92" s="60">
        <f t="shared" ca="1" si="21"/>
        <v>-6.5097655037212405</v>
      </c>
      <c r="V92" t="str">
        <f t="shared" si="25"/>
        <v/>
      </c>
      <c r="W92">
        <f t="shared" si="22"/>
        <v>1</v>
      </c>
      <c r="X92">
        <f t="shared" si="23"/>
        <v>13</v>
      </c>
    </row>
    <row r="93" spans="18:24" x14ac:dyDescent="0.25">
      <c r="R93" s="57">
        <v>78</v>
      </c>
      <c r="T93" s="59">
        <f t="shared" ca="1" si="24"/>
        <v>-1338917.5171233998</v>
      </c>
      <c r="U93" s="60">
        <f t="shared" ca="1" si="21"/>
        <v>-6.7127956718762025</v>
      </c>
      <c r="V93" t="str">
        <f t="shared" si="25"/>
        <v/>
      </c>
      <c r="W93">
        <f t="shared" si="22"/>
        <v>2</v>
      </c>
      <c r="X93">
        <f t="shared" si="23"/>
        <v>14</v>
      </c>
    </row>
    <row r="94" spans="18:24" x14ac:dyDescent="0.25">
      <c r="R94" s="57">
        <v>79</v>
      </c>
      <c r="T94" s="59">
        <f t="shared" ca="1" si="24"/>
        <v>-1379413.4091384192</v>
      </c>
      <c r="U94" s="60">
        <f t="shared" ca="1" si="21"/>
        <v>-6.9158258400311645</v>
      </c>
      <c r="V94" t="str">
        <f t="shared" si="25"/>
        <v/>
      </c>
      <c r="W94">
        <f t="shared" si="22"/>
        <v>3</v>
      </c>
      <c r="X94">
        <f t="shared" si="23"/>
        <v>15</v>
      </c>
    </row>
    <row r="95" spans="18:24" x14ac:dyDescent="0.25">
      <c r="R95" s="57">
        <v>80</v>
      </c>
      <c r="T95" s="59">
        <f t="shared" ca="1" si="24"/>
        <v>-1419909.3011534386</v>
      </c>
      <c r="U95" s="60">
        <f t="shared" ca="1" si="21"/>
        <v>-7.1188560081861274</v>
      </c>
      <c r="V95">
        <f t="shared" si="25"/>
        <v>20</v>
      </c>
      <c r="W95">
        <f t="shared" si="22"/>
        <v>0</v>
      </c>
      <c r="X95">
        <f t="shared" si="23"/>
        <v>16</v>
      </c>
    </row>
    <row r="96" spans="18:24" x14ac:dyDescent="0.25">
      <c r="R96" s="57">
        <v>81</v>
      </c>
      <c r="T96" s="59">
        <f t="shared" ca="1" si="24"/>
        <v>-1460405.1931684581</v>
      </c>
      <c r="U96" s="60">
        <f t="shared" ca="1" si="21"/>
        <v>-7.3218861763410894</v>
      </c>
      <c r="V96" t="str">
        <f t="shared" si="25"/>
        <v/>
      </c>
      <c r="W96">
        <f t="shared" si="22"/>
        <v>1</v>
      </c>
      <c r="X96">
        <f t="shared" ref="X96:X159" si="26">MOD(R96,32)</f>
        <v>17</v>
      </c>
    </row>
    <row r="97" spans="18:27" x14ac:dyDescent="0.25">
      <c r="R97" s="57">
        <v>82</v>
      </c>
      <c r="T97" s="59">
        <f t="shared" ca="1" si="24"/>
        <v>-1500901.0851834775</v>
      </c>
      <c r="U97" s="60">
        <f t="shared" ca="1" si="21"/>
        <v>-7.5249163444960514</v>
      </c>
      <c r="V97" t="str">
        <f t="shared" si="25"/>
        <v/>
      </c>
      <c r="W97">
        <f t="shared" si="22"/>
        <v>2</v>
      </c>
      <c r="X97">
        <f t="shared" si="26"/>
        <v>18</v>
      </c>
    </row>
    <row r="98" spans="18:27" x14ac:dyDescent="0.25">
      <c r="R98" s="57">
        <v>83</v>
      </c>
      <c r="T98" s="59">
        <f t="shared" ca="1" si="24"/>
        <v>-1541396.9771984969</v>
      </c>
      <c r="U98" s="60">
        <f t="shared" ca="1" si="21"/>
        <v>-7.7279465126510143</v>
      </c>
      <c r="V98" t="str">
        <f t="shared" si="25"/>
        <v/>
      </c>
      <c r="W98">
        <f t="shared" si="22"/>
        <v>3</v>
      </c>
      <c r="X98">
        <f t="shared" si="26"/>
        <v>19</v>
      </c>
    </row>
    <row r="99" spans="18:27" x14ac:dyDescent="0.25">
      <c r="R99" s="57">
        <v>84</v>
      </c>
      <c r="T99" s="59">
        <f t="shared" ca="1" si="24"/>
        <v>-1581892.8692135164</v>
      </c>
      <c r="U99" s="60">
        <f t="shared" ca="1" si="21"/>
        <v>-7.9309766808059763</v>
      </c>
      <c r="V99">
        <f t="shared" si="25"/>
        <v>21</v>
      </c>
      <c r="W99">
        <f t="shared" si="22"/>
        <v>0</v>
      </c>
      <c r="X99">
        <f t="shared" si="26"/>
        <v>20</v>
      </c>
    </row>
    <row r="100" spans="18:27" x14ac:dyDescent="0.25">
      <c r="R100" s="57">
        <v>85</v>
      </c>
      <c r="T100" s="59">
        <f t="shared" ca="1" si="24"/>
        <v>-1622388.7612285358</v>
      </c>
      <c r="U100" s="60">
        <f t="shared" ca="1" si="21"/>
        <v>-8.1340068489609383</v>
      </c>
      <c r="V100" t="str">
        <f t="shared" si="25"/>
        <v/>
      </c>
      <c r="W100">
        <f t="shared" si="22"/>
        <v>1</v>
      </c>
      <c r="X100">
        <f t="shared" si="26"/>
        <v>21</v>
      </c>
    </row>
    <row r="101" spans="18:27" x14ac:dyDescent="0.25">
      <c r="R101" s="57">
        <v>86</v>
      </c>
      <c r="T101" s="59">
        <f t="shared" ca="1" si="24"/>
        <v>-1662884.6532435552</v>
      </c>
      <c r="U101" s="60">
        <f t="shared" ca="1" si="21"/>
        <v>-8.3370370171159003</v>
      </c>
      <c r="V101" t="str">
        <f t="shared" si="25"/>
        <v/>
      </c>
      <c r="W101">
        <f t="shared" si="22"/>
        <v>2</v>
      </c>
      <c r="X101">
        <f t="shared" si="26"/>
        <v>22</v>
      </c>
    </row>
    <row r="102" spans="18:27" x14ac:dyDescent="0.25">
      <c r="R102" s="57">
        <v>87</v>
      </c>
      <c r="T102" s="59">
        <f t="shared" ca="1" si="24"/>
        <v>-1703380.5452585747</v>
      </c>
      <c r="U102" s="60">
        <f t="shared" ca="1" si="21"/>
        <v>-8.5400671852708641</v>
      </c>
      <c r="V102" t="str">
        <f t="shared" si="25"/>
        <v/>
      </c>
      <c r="W102">
        <f t="shared" si="22"/>
        <v>3</v>
      </c>
      <c r="X102">
        <f t="shared" si="26"/>
        <v>23</v>
      </c>
    </row>
    <row r="103" spans="18:27" x14ac:dyDescent="0.25">
      <c r="R103" s="57">
        <v>88</v>
      </c>
      <c r="T103" s="59">
        <f t="shared" ca="1" si="24"/>
        <v>-1743876.4372735941</v>
      </c>
      <c r="U103" s="60">
        <f t="shared" ca="1" si="21"/>
        <v>-8.7430973534258261</v>
      </c>
      <c r="V103">
        <f t="shared" si="25"/>
        <v>22</v>
      </c>
      <c r="W103">
        <f t="shared" si="22"/>
        <v>0</v>
      </c>
      <c r="X103">
        <f t="shared" si="26"/>
        <v>24</v>
      </c>
    </row>
    <row r="104" spans="18:27" x14ac:dyDescent="0.25">
      <c r="R104" s="57">
        <v>89</v>
      </c>
      <c r="T104" s="59">
        <f t="shared" ca="1" si="24"/>
        <v>-1784372.3292886135</v>
      </c>
      <c r="U104" s="60">
        <f t="shared" ca="1" si="21"/>
        <v>-8.9461275215807881</v>
      </c>
      <c r="V104" t="str">
        <f t="shared" si="25"/>
        <v/>
      </c>
      <c r="W104">
        <f t="shared" si="22"/>
        <v>1</v>
      </c>
      <c r="X104">
        <f t="shared" si="26"/>
        <v>25</v>
      </c>
    </row>
    <row r="105" spans="18:27" x14ac:dyDescent="0.25">
      <c r="R105" s="57">
        <v>90</v>
      </c>
      <c r="T105" s="59">
        <f t="shared" ca="1" si="24"/>
        <v>-1824868.2213036329</v>
      </c>
      <c r="U105" s="60">
        <f t="shared" ca="1" si="21"/>
        <v>-9.1491576897357501</v>
      </c>
      <c r="V105" t="str">
        <f t="shared" si="25"/>
        <v/>
      </c>
      <c r="W105">
        <f t="shared" si="22"/>
        <v>2</v>
      </c>
      <c r="X105">
        <f t="shared" si="26"/>
        <v>26</v>
      </c>
    </row>
    <row r="106" spans="18:27" x14ac:dyDescent="0.25">
      <c r="R106" s="57">
        <v>91</v>
      </c>
      <c r="T106" s="59">
        <f t="shared" ca="1" si="24"/>
        <v>-1865364.1133186524</v>
      </c>
      <c r="U106" s="60">
        <f t="shared" ca="1" si="21"/>
        <v>-9.3521878578907121</v>
      </c>
      <c r="V106" t="str">
        <f t="shared" si="25"/>
        <v/>
      </c>
      <c r="W106">
        <f t="shared" si="22"/>
        <v>3</v>
      </c>
      <c r="X106">
        <f t="shared" si="26"/>
        <v>27</v>
      </c>
    </row>
    <row r="107" spans="18:27" x14ac:dyDescent="0.25">
      <c r="R107" s="57">
        <v>92</v>
      </c>
      <c r="T107" s="59">
        <f t="shared" ca="1" si="24"/>
        <v>-1905860.0053336718</v>
      </c>
      <c r="U107" s="60">
        <f t="shared" ca="1" si="21"/>
        <v>-9.5552180260456758</v>
      </c>
      <c r="V107">
        <f t="shared" si="25"/>
        <v>23</v>
      </c>
      <c r="W107">
        <f t="shared" si="22"/>
        <v>0</v>
      </c>
      <c r="X107">
        <f t="shared" si="26"/>
        <v>28</v>
      </c>
    </row>
    <row r="108" spans="18:27" x14ac:dyDescent="0.25">
      <c r="R108" s="57">
        <v>93</v>
      </c>
      <c r="T108" s="59">
        <f t="shared" ca="1" si="24"/>
        <v>-1946355.8973486912</v>
      </c>
      <c r="U108" s="60">
        <f t="shared" ca="1" si="21"/>
        <v>-9.7582481942006378</v>
      </c>
      <c r="V108" t="str">
        <f t="shared" si="25"/>
        <v/>
      </c>
      <c r="W108">
        <f t="shared" si="22"/>
        <v>1</v>
      </c>
      <c r="X108">
        <f t="shared" si="26"/>
        <v>29</v>
      </c>
    </row>
    <row r="109" spans="18:27" x14ac:dyDescent="0.25">
      <c r="R109" s="57">
        <v>94</v>
      </c>
      <c r="T109" s="59">
        <f t="shared" ca="1" si="24"/>
        <v>-1986851.7893637107</v>
      </c>
      <c r="U109" s="60">
        <f t="shared" ca="1" si="21"/>
        <v>-9.9612783623555998</v>
      </c>
      <c r="V109" t="str">
        <f t="shared" si="25"/>
        <v/>
      </c>
      <c r="W109">
        <f t="shared" si="22"/>
        <v>2</v>
      </c>
      <c r="X109">
        <f t="shared" si="26"/>
        <v>30</v>
      </c>
    </row>
    <row r="110" spans="18:27" x14ac:dyDescent="0.25">
      <c r="R110" s="57">
        <v>95</v>
      </c>
      <c r="T110" s="59">
        <f t="shared" ca="1" si="24"/>
        <v>-2027347.6813787301</v>
      </c>
      <c r="U110" s="60">
        <f t="shared" ca="1" si="21"/>
        <v>-10.164308530510562</v>
      </c>
      <c r="V110" t="str">
        <f t="shared" si="25"/>
        <v/>
      </c>
      <c r="W110">
        <f t="shared" si="22"/>
        <v>3</v>
      </c>
      <c r="X110">
        <f t="shared" si="26"/>
        <v>31</v>
      </c>
    </row>
    <row r="111" spans="18:27" x14ac:dyDescent="0.25">
      <c r="R111" s="57">
        <v>96</v>
      </c>
      <c r="T111" s="59">
        <f t="shared" ca="1" si="24"/>
        <v>-1842843.5733937495</v>
      </c>
      <c r="U111" s="60">
        <f t="shared" ca="1" si="21"/>
        <v>-9.2392788989721701</v>
      </c>
      <c r="V111">
        <f t="shared" si="25"/>
        <v>24</v>
      </c>
      <c r="W111">
        <f t="shared" si="22"/>
        <v>0</v>
      </c>
      <c r="X111">
        <f t="shared" si="26"/>
        <v>0</v>
      </c>
      <c r="Y111" s="57" t="str">
        <f ca="1">J39</f>
        <v>НЕУРОЖАЙ</v>
      </c>
      <c r="Z111" s="57">
        <f ca="1">K39</f>
        <v>31</v>
      </c>
      <c r="AA111" s="57">
        <f ca="1">N39</f>
        <v>1</v>
      </c>
    </row>
    <row r="112" spans="18:27" x14ac:dyDescent="0.25">
      <c r="R112" s="57">
        <v>97</v>
      </c>
      <c r="T112" s="59">
        <f t="shared" ca="1" si="24"/>
        <v>-1883339.465408769</v>
      </c>
      <c r="U112" s="60">
        <f t="shared" ca="1" si="21"/>
        <v>-9.4423090671271321</v>
      </c>
      <c r="V112" t="str">
        <f t="shared" si="25"/>
        <v/>
      </c>
      <c r="W112">
        <f t="shared" si="22"/>
        <v>1</v>
      </c>
      <c r="X112">
        <f t="shared" si="26"/>
        <v>1</v>
      </c>
    </row>
    <row r="113" spans="18:24" x14ac:dyDescent="0.25">
      <c r="R113" s="57">
        <v>98</v>
      </c>
      <c r="T113" s="59">
        <f t="shared" ca="1" si="24"/>
        <v>-1923835.3574237884</v>
      </c>
      <c r="U113" s="60">
        <f t="shared" ca="1" si="21"/>
        <v>-9.6453392352820941</v>
      </c>
      <c r="V113" t="str">
        <f t="shared" si="25"/>
        <v/>
      </c>
      <c r="W113">
        <f t="shared" si="22"/>
        <v>2</v>
      </c>
      <c r="X113">
        <f t="shared" si="26"/>
        <v>2</v>
      </c>
    </row>
    <row r="114" spans="18:24" x14ac:dyDescent="0.25">
      <c r="R114" s="57">
        <v>99</v>
      </c>
      <c r="T114" s="59">
        <f t="shared" ca="1" si="24"/>
        <v>-1964331.2494388078</v>
      </c>
      <c r="U114" s="60">
        <f t="shared" ca="1" si="21"/>
        <v>-9.8483694034370579</v>
      </c>
      <c r="V114" t="str">
        <f t="shared" si="25"/>
        <v/>
      </c>
      <c r="W114">
        <f t="shared" si="22"/>
        <v>3</v>
      </c>
      <c r="X114">
        <f t="shared" si="26"/>
        <v>3</v>
      </c>
    </row>
    <row r="115" spans="18:24" x14ac:dyDescent="0.25">
      <c r="R115" s="57">
        <v>100</v>
      </c>
      <c r="T115" s="59">
        <f t="shared" ca="1" si="24"/>
        <v>-2004827.1414538273</v>
      </c>
      <c r="U115" s="60">
        <f t="shared" ca="1" si="21"/>
        <v>-10.05139957159202</v>
      </c>
      <c r="V115">
        <f t="shared" si="25"/>
        <v>25</v>
      </c>
      <c r="W115">
        <f t="shared" si="22"/>
        <v>0</v>
      </c>
      <c r="X115">
        <f t="shared" si="26"/>
        <v>4</v>
      </c>
    </row>
    <row r="116" spans="18:24" x14ac:dyDescent="0.25">
      <c r="R116" s="57">
        <v>101</v>
      </c>
      <c r="T116" s="59">
        <f t="shared" ca="1" si="24"/>
        <v>-2045323.0334688467</v>
      </c>
      <c r="U116" s="60">
        <f t="shared" ca="1" si="21"/>
        <v>-10.254429739746982</v>
      </c>
      <c r="V116" t="str">
        <f t="shared" si="25"/>
        <v/>
      </c>
      <c r="W116">
        <f t="shared" si="22"/>
        <v>1</v>
      </c>
      <c r="X116">
        <f t="shared" si="26"/>
        <v>5</v>
      </c>
    </row>
    <row r="117" spans="18:24" x14ac:dyDescent="0.25">
      <c r="R117" s="57">
        <v>102</v>
      </c>
      <c r="T117" s="59">
        <f t="shared" ca="1" si="24"/>
        <v>-2085818.9254838661</v>
      </c>
      <c r="U117" s="60">
        <f t="shared" ca="1" si="21"/>
        <v>-10.457459907901944</v>
      </c>
      <c r="V117" t="str">
        <f t="shared" si="25"/>
        <v/>
      </c>
      <c r="W117">
        <f t="shared" si="22"/>
        <v>2</v>
      </c>
      <c r="X117">
        <f t="shared" si="26"/>
        <v>6</v>
      </c>
    </row>
    <row r="118" spans="18:24" x14ac:dyDescent="0.25">
      <c r="R118" s="57">
        <v>103</v>
      </c>
      <c r="T118" s="59">
        <f t="shared" ca="1" si="24"/>
        <v>-2126314.8174988856</v>
      </c>
      <c r="U118" s="60">
        <f t="shared" ca="1" si="21"/>
        <v>-10.660490076056906</v>
      </c>
      <c r="V118" t="str">
        <f t="shared" si="25"/>
        <v/>
      </c>
      <c r="W118">
        <f t="shared" si="22"/>
        <v>3</v>
      </c>
      <c r="X118">
        <f t="shared" si="26"/>
        <v>7</v>
      </c>
    </row>
    <row r="119" spans="18:24" x14ac:dyDescent="0.25">
      <c r="R119" s="57">
        <v>104</v>
      </c>
      <c r="T119" s="59">
        <f t="shared" ca="1" si="24"/>
        <v>-2166810.709513905</v>
      </c>
      <c r="U119" s="60">
        <f t="shared" ca="1" si="21"/>
        <v>-10.863520244211868</v>
      </c>
      <c r="V119">
        <f t="shared" si="25"/>
        <v>26</v>
      </c>
      <c r="W119">
        <f t="shared" si="22"/>
        <v>0</v>
      </c>
      <c r="X119">
        <f t="shared" si="26"/>
        <v>8</v>
      </c>
    </row>
    <row r="120" spans="18:24" x14ac:dyDescent="0.25">
      <c r="R120" s="57">
        <v>105</v>
      </c>
      <c r="T120" s="59">
        <f t="shared" ca="1" si="24"/>
        <v>-2207306.6015289244</v>
      </c>
      <c r="U120" s="60">
        <f t="shared" ca="1" si="21"/>
        <v>-11.066550412366832</v>
      </c>
      <c r="V120" t="str">
        <f t="shared" si="25"/>
        <v/>
      </c>
      <c r="W120">
        <f t="shared" si="22"/>
        <v>1</v>
      </c>
      <c r="X120">
        <f t="shared" si="26"/>
        <v>9</v>
      </c>
    </row>
    <row r="121" spans="18:24" x14ac:dyDescent="0.25">
      <c r="R121" s="57">
        <v>106</v>
      </c>
      <c r="T121" s="59">
        <f t="shared" ca="1" si="24"/>
        <v>-2247802.4935439439</v>
      </c>
      <c r="U121" s="60">
        <f t="shared" ca="1" si="21"/>
        <v>-11.269580580521794</v>
      </c>
      <c r="V121" t="str">
        <f t="shared" si="25"/>
        <v/>
      </c>
      <c r="W121">
        <f t="shared" si="22"/>
        <v>2</v>
      </c>
      <c r="X121">
        <f t="shared" si="26"/>
        <v>10</v>
      </c>
    </row>
    <row r="122" spans="18:24" x14ac:dyDescent="0.25">
      <c r="R122" s="57">
        <v>107</v>
      </c>
      <c r="T122" s="59">
        <f t="shared" ca="1" si="24"/>
        <v>-2288298.3855589633</v>
      </c>
      <c r="U122" s="60">
        <f t="shared" ca="1" si="21"/>
        <v>-11.472610748676756</v>
      </c>
      <c r="V122" t="str">
        <f t="shared" si="25"/>
        <v/>
      </c>
      <c r="W122">
        <f t="shared" si="22"/>
        <v>3</v>
      </c>
      <c r="X122">
        <f t="shared" si="26"/>
        <v>11</v>
      </c>
    </row>
    <row r="123" spans="18:24" x14ac:dyDescent="0.25">
      <c r="R123" s="57">
        <v>108</v>
      </c>
      <c r="T123" s="59">
        <f t="shared" ca="1" si="24"/>
        <v>-2328794.2775739827</v>
      </c>
      <c r="U123" s="60">
        <f t="shared" ca="1" si="21"/>
        <v>-11.675640916831718</v>
      </c>
      <c r="V123">
        <f t="shared" si="25"/>
        <v>27</v>
      </c>
      <c r="W123">
        <f t="shared" si="22"/>
        <v>0</v>
      </c>
      <c r="X123">
        <f t="shared" si="26"/>
        <v>12</v>
      </c>
    </row>
    <row r="124" spans="18:24" x14ac:dyDescent="0.25">
      <c r="R124" s="57">
        <v>109</v>
      </c>
      <c r="T124" s="59">
        <f t="shared" ca="1" si="24"/>
        <v>-2369290.1695890022</v>
      </c>
      <c r="U124" s="60">
        <f t="shared" ca="1" si="21"/>
        <v>-11.87867108498668</v>
      </c>
      <c r="V124" t="str">
        <f t="shared" si="25"/>
        <v/>
      </c>
      <c r="W124">
        <f t="shared" si="22"/>
        <v>1</v>
      </c>
      <c r="X124">
        <f t="shared" si="26"/>
        <v>13</v>
      </c>
    </row>
    <row r="125" spans="18:24" x14ac:dyDescent="0.25">
      <c r="R125" s="57">
        <v>110</v>
      </c>
      <c r="T125" s="59">
        <f t="shared" ca="1" si="24"/>
        <v>-2409786.0616040216</v>
      </c>
      <c r="U125" s="60">
        <f t="shared" ca="1" si="21"/>
        <v>-12.081701253141643</v>
      </c>
      <c r="V125" t="str">
        <f t="shared" si="25"/>
        <v/>
      </c>
      <c r="W125">
        <f t="shared" si="22"/>
        <v>2</v>
      </c>
      <c r="X125">
        <f t="shared" si="26"/>
        <v>14</v>
      </c>
    </row>
    <row r="126" spans="18:24" x14ac:dyDescent="0.25">
      <c r="R126" s="57">
        <v>111</v>
      </c>
      <c r="T126" s="59">
        <f t="shared" ca="1" si="24"/>
        <v>-2450281.953619041</v>
      </c>
      <c r="U126" s="60">
        <f t="shared" ca="1" si="21"/>
        <v>-12.284731421296605</v>
      </c>
      <c r="V126" t="str">
        <f t="shared" si="25"/>
        <v/>
      </c>
      <c r="W126">
        <f t="shared" si="22"/>
        <v>3</v>
      </c>
      <c r="X126">
        <f t="shared" si="26"/>
        <v>15</v>
      </c>
    </row>
    <row r="127" spans="18:24" x14ac:dyDescent="0.25">
      <c r="R127" s="57">
        <v>112</v>
      </c>
      <c r="T127" s="59">
        <f t="shared" ca="1" si="24"/>
        <v>-2490777.8456340604</v>
      </c>
      <c r="U127" s="60">
        <f t="shared" ca="1" si="21"/>
        <v>-12.487761589451567</v>
      </c>
      <c r="V127">
        <f t="shared" si="25"/>
        <v>28</v>
      </c>
      <c r="W127">
        <f t="shared" si="22"/>
        <v>0</v>
      </c>
      <c r="X127">
        <f t="shared" si="26"/>
        <v>16</v>
      </c>
    </row>
    <row r="128" spans="18:24" x14ac:dyDescent="0.25">
      <c r="R128" s="57">
        <v>113</v>
      </c>
      <c r="T128" s="59">
        <f t="shared" ca="1" si="24"/>
        <v>-2531273.7376490799</v>
      </c>
      <c r="U128" s="60">
        <f t="shared" ca="1" si="21"/>
        <v>-12.690791757606529</v>
      </c>
      <c r="V128" t="str">
        <f t="shared" si="25"/>
        <v/>
      </c>
      <c r="W128">
        <f t="shared" si="22"/>
        <v>1</v>
      </c>
      <c r="X128">
        <f t="shared" si="26"/>
        <v>17</v>
      </c>
    </row>
    <row r="129" spans="18:24" x14ac:dyDescent="0.25">
      <c r="R129" s="57">
        <v>114</v>
      </c>
      <c r="T129" s="59">
        <f t="shared" ca="1" si="24"/>
        <v>-2571769.6296640993</v>
      </c>
      <c r="U129" s="60">
        <f t="shared" ca="1" si="21"/>
        <v>-12.893821925761491</v>
      </c>
      <c r="V129" t="str">
        <f t="shared" si="25"/>
        <v/>
      </c>
      <c r="W129">
        <f t="shared" si="22"/>
        <v>2</v>
      </c>
      <c r="X129">
        <f t="shared" si="26"/>
        <v>18</v>
      </c>
    </row>
    <row r="130" spans="18:24" x14ac:dyDescent="0.25">
      <c r="R130" s="57">
        <v>115</v>
      </c>
      <c r="T130" s="59">
        <f t="shared" ca="1" si="24"/>
        <v>-2612265.5216791187</v>
      </c>
      <c r="U130" s="60">
        <f t="shared" ca="1" si="21"/>
        <v>-13.096852093916455</v>
      </c>
      <c r="V130" t="str">
        <f t="shared" si="25"/>
        <v/>
      </c>
      <c r="W130">
        <f t="shared" si="22"/>
        <v>3</v>
      </c>
      <c r="X130">
        <f t="shared" si="26"/>
        <v>19</v>
      </c>
    </row>
    <row r="131" spans="18:24" x14ac:dyDescent="0.25">
      <c r="R131" s="57">
        <v>116</v>
      </c>
      <c r="T131" s="59">
        <f t="shared" ca="1" si="24"/>
        <v>-2652761.4136941382</v>
      </c>
      <c r="U131" s="60">
        <f t="shared" ca="1" si="21"/>
        <v>-13.299882262071417</v>
      </c>
      <c r="V131">
        <f t="shared" si="25"/>
        <v>29</v>
      </c>
      <c r="W131">
        <f t="shared" si="22"/>
        <v>0</v>
      </c>
      <c r="X131">
        <f t="shared" si="26"/>
        <v>20</v>
      </c>
    </row>
    <row r="132" spans="18:24" x14ac:dyDescent="0.25">
      <c r="R132" s="57">
        <v>117</v>
      </c>
      <c r="T132" s="59">
        <f t="shared" ca="1" si="24"/>
        <v>-2693257.3057091576</v>
      </c>
      <c r="U132" s="60">
        <f t="shared" ca="1" si="21"/>
        <v>-13.502912430226379</v>
      </c>
      <c r="V132" t="str">
        <f t="shared" si="25"/>
        <v/>
      </c>
      <c r="W132">
        <f t="shared" si="22"/>
        <v>1</v>
      </c>
      <c r="X132">
        <f t="shared" si="26"/>
        <v>21</v>
      </c>
    </row>
    <row r="133" spans="18:24" x14ac:dyDescent="0.25">
      <c r="R133" s="57">
        <v>118</v>
      </c>
      <c r="T133" s="59">
        <f t="shared" ca="1" si="24"/>
        <v>-2733753.197724177</v>
      </c>
      <c r="U133" s="60">
        <f t="shared" ca="1" si="21"/>
        <v>-13.705942598381341</v>
      </c>
      <c r="V133" t="str">
        <f t="shared" si="25"/>
        <v/>
      </c>
      <c r="W133">
        <f t="shared" si="22"/>
        <v>2</v>
      </c>
      <c r="X133">
        <f t="shared" si="26"/>
        <v>22</v>
      </c>
    </row>
    <row r="134" spans="18:24" x14ac:dyDescent="0.25">
      <c r="R134" s="57">
        <v>119</v>
      </c>
      <c r="T134" s="59">
        <f t="shared" ca="1" si="24"/>
        <v>-2774249.0897391965</v>
      </c>
      <c r="U134" s="60">
        <f t="shared" ca="1" si="21"/>
        <v>-13.908972766536303</v>
      </c>
      <c r="V134" t="str">
        <f t="shared" si="25"/>
        <v/>
      </c>
      <c r="W134">
        <f t="shared" si="22"/>
        <v>3</v>
      </c>
      <c r="X134">
        <f t="shared" si="26"/>
        <v>23</v>
      </c>
    </row>
    <row r="135" spans="18:24" x14ac:dyDescent="0.25">
      <c r="R135" s="57">
        <v>120</v>
      </c>
      <c r="T135" s="59">
        <f t="shared" ca="1" si="24"/>
        <v>-2814744.9817542159</v>
      </c>
      <c r="U135" s="60">
        <f t="shared" ca="1" si="21"/>
        <v>-14.112002934691265</v>
      </c>
      <c r="V135">
        <f t="shared" si="25"/>
        <v>30</v>
      </c>
      <c r="W135">
        <f t="shared" si="22"/>
        <v>0</v>
      </c>
      <c r="X135">
        <f t="shared" si="26"/>
        <v>24</v>
      </c>
    </row>
    <row r="136" spans="18:24" x14ac:dyDescent="0.25">
      <c r="R136" s="57">
        <v>121</v>
      </c>
      <c r="T136" s="59">
        <f t="shared" ca="1" si="24"/>
        <v>-2855240.8737692353</v>
      </c>
      <c r="U136" s="60">
        <f t="shared" ca="1" si="21"/>
        <v>-14.315033102846229</v>
      </c>
      <c r="V136" t="str">
        <f t="shared" si="25"/>
        <v/>
      </c>
      <c r="W136">
        <f t="shared" si="22"/>
        <v>1</v>
      </c>
      <c r="X136">
        <f t="shared" si="26"/>
        <v>25</v>
      </c>
    </row>
    <row r="137" spans="18:24" x14ac:dyDescent="0.25">
      <c r="R137" s="57">
        <v>122</v>
      </c>
      <c r="T137" s="59">
        <f t="shared" ca="1" si="24"/>
        <v>-2895736.7657842548</v>
      </c>
      <c r="U137" s="60">
        <f t="shared" ca="1" si="21"/>
        <v>-14.518063271001191</v>
      </c>
      <c r="V137" t="str">
        <f t="shared" si="25"/>
        <v/>
      </c>
      <c r="W137">
        <f t="shared" si="22"/>
        <v>2</v>
      </c>
      <c r="X137">
        <f t="shared" si="26"/>
        <v>26</v>
      </c>
    </row>
    <row r="138" spans="18:24" x14ac:dyDescent="0.25">
      <c r="R138" s="57">
        <v>123</v>
      </c>
      <c r="T138" s="59">
        <f t="shared" ca="1" si="24"/>
        <v>-2936232.6577992742</v>
      </c>
      <c r="U138" s="60">
        <f t="shared" ca="1" si="21"/>
        <v>-14.721093439156153</v>
      </c>
      <c r="V138" t="str">
        <f t="shared" si="25"/>
        <v/>
      </c>
      <c r="W138">
        <f t="shared" si="22"/>
        <v>3</v>
      </c>
      <c r="X138">
        <f t="shared" si="26"/>
        <v>27</v>
      </c>
    </row>
    <row r="139" spans="18:24" x14ac:dyDescent="0.25">
      <c r="R139" s="57">
        <v>124</v>
      </c>
      <c r="T139" s="59">
        <f t="shared" ca="1" si="24"/>
        <v>-2976728.5498142936</v>
      </c>
      <c r="U139" s="60">
        <f t="shared" ca="1" si="21"/>
        <v>-14.924123607311115</v>
      </c>
      <c r="V139">
        <f t="shared" si="25"/>
        <v>31</v>
      </c>
      <c r="W139">
        <f t="shared" si="22"/>
        <v>0</v>
      </c>
      <c r="X139">
        <f t="shared" si="26"/>
        <v>28</v>
      </c>
    </row>
    <row r="140" spans="18:24" x14ac:dyDescent="0.25">
      <c r="R140" s="57">
        <v>125</v>
      </c>
      <c r="T140" s="59">
        <f t="shared" ca="1" si="24"/>
        <v>-3017224.4418293131</v>
      </c>
      <c r="U140" s="60">
        <f t="shared" ca="1" si="21"/>
        <v>-15.127153775466077</v>
      </c>
      <c r="V140" t="str">
        <f t="shared" si="25"/>
        <v/>
      </c>
      <c r="W140">
        <f t="shared" si="22"/>
        <v>1</v>
      </c>
      <c r="X140">
        <f t="shared" si="26"/>
        <v>29</v>
      </c>
    </row>
    <row r="141" spans="18:24" x14ac:dyDescent="0.25">
      <c r="R141" s="57">
        <v>126</v>
      </c>
      <c r="T141" s="59">
        <f t="shared" ca="1" si="24"/>
        <v>-3057720.3338443325</v>
      </c>
      <c r="U141" s="60">
        <f t="shared" ca="1" si="21"/>
        <v>-15.330183943621041</v>
      </c>
      <c r="V141" t="str">
        <f t="shared" si="25"/>
        <v/>
      </c>
      <c r="W141">
        <f t="shared" si="22"/>
        <v>2</v>
      </c>
      <c r="X141">
        <f t="shared" si="26"/>
        <v>30</v>
      </c>
    </row>
    <row r="142" spans="18:24" x14ac:dyDescent="0.25">
      <c r="R142" s="57">
        <v>127</v>
      </c>
      <c r="T142" s="59">
        <f t="shared" ca="1" si="24"/>
        <v>-3098216.2258593519</v>
      </c>
      <c r="U142" s="60">
        <f t="shared" ca="1" si="21"/>
        <v>-15.533214111776003</v>
      </c>
      <c r="V142" t="str">
        <f t="shared" si="25"/>
        <v/>
      </c>
      <c r="W142">
        <f t="shared" si="22"/>
        <v>3</v>
      </c>
      <c r="X142">
        <f t="shared" si="26"/>
        <v>31</v>
      </c>
    </row>
    <row r="143" spans="18:24" x14ac:dyDescent="0.25">
      <c r="R143" s="57">
        <v>128</v>
      </c>
      <c r="T143" s="59">
        <f t="shared" ca="1" si="24"/>
        <v>-2238712.1178743714</v>
      </c>
      <c r="U143" s="60">
        <f t="shared" ca="1" si="21"/>
        <v>-11.224005081157548</v>
      </c>
      <c r="V143">
        <f t="shared" si="25"/>
        <v>32</v>
      </c>
      <c r="W143">
        <f t="shared" si="22"/>
        <v>0</v>
      </c>
      <c r="X143">
        <f t="shared" si="26"/>
        <v>0</v>
      </c>
    </row>
    <row r="144" spans="18:24" x14ac:dyDescent="0.25">
      <c r="R144" s="57">
        <v>129</v>
      </c>
      <c r="T144" s="59">
        <f t="shared" ca="1" si="24"/>
        <v>-2279208.0098893908</v>
      </c>
      <c r="U144" s="60">
        <f t="shared" ca="1" si="21"/>
        <v>-11.42703524931251</v>
      </c>
      <c r="V144" t="str">
        <f t="shared" si="25"/>
        <v/>
      </c>
      <c r="W144">
        <f t="shared" si="22"/>
        <v>1</v>
      </c>
      <c r="X144">
        <f t="shared" si="26"/>
        <v>1</v>
      </c>
    </row>
    <row r="145" spans="18:24" x14ac:dyDescent="0.25">
      <c r="R145" s="57">
        <v>130</v>
      </c>
      <c r="T145" s="59">
        <f t="shared" ca="1" si="24"/>
        <v>-2319703.9019044102</v>
      </c>
      <c r="U145" s="60">
        <f t="shared" ref="U145:U159" ca="1" si="27">T145/$O$3</f>
        <v>-11.630065417467472</v>
      </c>
      <c r="V145" t="str">
        <f t="shared" si="25"/>
        <v/>
      </c>
      <c r="W145">
        <f t="shared" ref="W145:W159" si="28">MOD(R145,4)</f>
        <v>2</v>
      </c>
      <c r="X145">
        <f t="shared" si="26"/>
        <v>2</v>
      </c>
    </row>
    <row r="146" spans="18:24" x14ac:dyDescent="0.25">
      <c r="R146" s="57">
        <v>131</v>
      </c>
      <c r="T146" s="59">
        <f t="shared" ref="T146:T159" ca="1" si="29">IF(AND(T145&gt;0,W146=0),T145*(IF(SUM($R$3,0.01*$M$3)&gt;0.99,0.99,$R$3+0.01*$M$3)),T145)+((($Q$3+$Q$3*$S$3)/4)+(IF(X146=0,$P$3*_xlfn.IFS(Y146="НЕУРОЖАЙ",0.25,Y146="ОБЫЧНЫЙ",1,Y146="РЕКОРД",1.25,Y146="",1),0)))-($O$3/4)</f>
        <v>-2360199.7939194296</v>
      </c>
      <c r="U146" s="60">
        <f t="shared" ca="1" si="27"/>
        <v>-11.833095585622434</v>
      </c>
      <c r="V146" t="str">
        <f t="shared" si="25"/>
        <v/>
      </c>
      <c r="W146">
        <f t="shared" si="28"/>
        <v>3</v>
      </c>
      <c r="X146">
        <f t="shared" si="26"/>
        <v>3</v>
      </c>
    </row>
    <row r="147" spans="18:24" x14ac:dyDescent="0.25">
      <c r="R147" s="57">
        <v>132</v>
      </c>
      <c r="T147" s="59">
        <f t="shared" ca="1" si="29"/>
        <v>-2400695.6859344491</v>
      </c>
      <c r="U147" s="60">
        <f t="shared" ca="1" si="27"/>
        <v>-12.036125753777396</v>
      </c>
      <c r="V147">
        <f t="shared" si="25"/>
        <v>33</v>
      </c>
      <c r="W147">
        <f t="shared" si="28"/>
        <v>0</v>
      </c>
      <c r="X147">
        <f t="shared" si="26"/>
        <v>4</v>
      </c>
    </row>
    <row r="148" spans="18:24" x14ac:dyDescent="0.25">
      <c r="R148" s="57">
        <v>133</v>
      </c>
      <c r="T148" s="59">
        <f t="shared" ca="1" si="29"/>
        <v>-2441191.5779494685</v>
      </c>
      <c r="U148" s="60">
        <f t="shared" ca="1" si="27"/>
        <v>-12.23915592193236</v>
      </c>
      <c r="V148" t="str">
        <f t="shared" ref="V148:V159" si="30">IF(W148=0,V144+1,"")</f>
        <v/>
      </c>
      <c r="W148">
        <f t="shared" si="28"/>
        <v>1</v>
      </c>
      <c r="X148">
        <f t="shared" si="26"/>
        <v>5</v>
      </c>
    </row>
    <row r="149" spans="18:24" x14ac:dyDescent="0.25">
      <c r="R149" s="57">
        <v>134</v>
      </c>
      <c r="T149" s="59">
        <f t="shared" ca="1" si="29"/>
        <v>-2481687.4699644879</v>
      </c>
      <c r="U149" s="60">
        <f t="shared" ca="1" si="27"/>
        <v>-12.442186090087322</v>
      </c>
      <c r="V149" t="str">
        <f t="shared" si="30"/>
        <v/>
      </c>
      <c r="W149">
        <f t="shared" si="28"/>
        <v>2</v>
      </c>
      <c r="X149">
        <f t="shared" si="26"/>
        <v>6</v>
      </c>
    </row>
    <row r="150" spans="18:24" x14ac:dyDescent="0.25">
      <c r="R150" s="57">
        <v>135</v>
      </c>
      <c r="T150" s="59">
        <f t="shared" ca="1" si="29"/>
        <v>-2522183.3619795074</v>
      </c>
      <c r="U150" s="60">
        <f t="shared" ca="1" si="27"/>
        <v>-12.645216258242284</v>
      </c>
      <c r="V150" t="str">
        <f t="shared" si="30"/>
        <v/>
      </c>
      <c r="W150">
        <f t="shared" si="28"/>
        <v>3</v>
      </c>
      <c r="X150">
        <f t="shared" si="26"/>
        <v>7</v>
      </c>
    </row>
    <row r="151" spans="18:24" x14ac:dyDescent="0.25">
      <c r="R151" s="57">
        <v>136</v>
      </c>
      <c r="T151" s="59">
        <f t="shared" ca="1" si="29"/>
        <v>-2562679.2539945268</v>
      </c>
      <c r="U151" s="60">
        <f t="shared" ca="1" si="27"/>
        <v>-12.848246426397246</v>
      </c>
      <c r="V151">
        <f t="shared" si="30"/>
        <v>34</v>
      </c>
      <c r="W151">
        <f t="shared" si="28"/>
        <v>0</v>
      </c>
      <c r="X151">
        <f t="shared" si="26"/>
        <v>8</v>
      </c>
    </row>
    <row r="152" spans="18:24" x14ac:dyDescent="0.25">
      <c r="R152" s="57">
        <v>137</v>
      </c>
      <c r="T152" s="59">
        <f t="shared" ca="1" si="29"/>
        <v>-2603175.1460095462</v>
      </c>
      <c r="U152" s="60">
        <f t="shared" ca="1" si="27"/>
        <v>-13.051276594552208</v>
      </c>
      <c r="V152" t="str">
        <f t="shared" si="30"/>
        <v/>
      </c>
      <c r="W152">
        <f t="shared" si="28"/>
        <v>1</v>
      </c>
      <c r="X152">
        <f t="shared" si="26"/>
        <v>9</v>
      </c>
    </row>
    <row r="153" spans="18:24" x14ac:dyDescent="0.25">
      <c r="R153" s="57">
        <v>138</v>
      </c>
      <c r="T153" s="59">
        <f t="shared" ca="1" si="29"/>
        <v>-2643671.0380245657</v>
      </c>
      <c r="U153" s="60">
        <f t="shared" ca="1" si="27"/>
        <v>-13.254306762707172</v>
      </c>
      <c r="V153" t="str">
        <f t="shared" si="30"/>
        <v/>
      </c>
      <c r="W153">
        <f t="shared" si="28"/>
        <v>2</v>
      </c>
      <c r="X153">
        <f t="shared" si="26"/>
        <v>10</v>
      </c>
    </row>
    <row r="154" spans="18:24" x14ac:dyDescent="0.25">
      <c r="R154" s="57">
        <v>139</v>
      </c>
      <c r="T154" s="59">
        <f t="shared" ca="1" si="29"/>
        <v>-2684166.9300395851</v>
      </c>
      <c r="U154" s="60">
        <f t="shared" ca="1" si="27"/>
        <v>-13.457336930862134</v>
      </c>
      <c r="V154" t="str">
        <f t="shared" si="30"/>
        <v/>
      </c>
      <c r="W154">
        <f t="shared" si="28"/>
        <v>3</v>
      </c>
      <c r="X154">
        <f t="shared" si="26"/>
        <v>11</v>
      </c>
    </row>
    <row r="155" spans="18:24" x14ac:dyDescent="0.25">
      <c r="R155" s="57">
        <v>140</v>
      </c>
      <c r="T155" s="59">
        <f t="shared" ca="1" si="29"/>
        <v>-2724662.8220546045</v>
      </c>
      <c r="U155" s="60">
        <f t="shared" ca="1" si="27"/>
        <v>-13.660367099017096</v>
      </c>
      <c r="V155">
        <f t="shared" si="30"/>
        <v>35</v>
      </c>
      <c r="W155">
        <f t="shared" si="28"/>
        <v>0</v>
      </c>
      <c r="X155">
        <f t="shared" si="26"/>
        <v>12</v>
      </c>
    </row>
    <row r="156" spans="18:24" x14ac:dyDescent="0.25">
      <c r="R156" s="57">
        <v>141</v>
      </c>
      <c r="T156" s="59">
        <f t="shared" ca="1" si="29"/>
        <v>-2765158.714069624</v>
      </c>
      <c r="U156" s="60">
        <f t="shared" ca="1" si="27"/>
        <v>-13.863397267172058</v>
      </c>
      <c r="V156" t="str">
        <f t="shared" si="30"/>
        <v/>
      </c>
      <c r="W156">
        <f t="shared" si="28"/>
        <v>1</v>
      </c>
      <c r="X156">
        <f t="shared" si="26"/>
        <v>13</v>
      </c>
    </row>
    <row r="157" spans="18:24" x14ac:dyDescent="0.25">
      <c r="R157" s="57">
        <v>142</v>
      </c>
      <c r="T157" s="59">
        <f t="shared" ca="1" si="29"/>
        <v>-2805654.6060846434</v>
      </c>
      <c r="U157" s="60">
        <f t="shared" ca="1" si="27"/>
        <v>-14.06642743532702</v>
      </c>
      <c r="V157" t="str">
        <f t="shared" si="30"/>
        <v/>
      </c>
      <c r="W157">
        <f t="shared" si="28"/>
        <v>2</v>
      </c>
      <c r="X157">
        <f t="shared" si="26"/>
        <v>14</v>
      </c>
    </row>
    <row r="158" spans="18:24" x14ac:dyDescent="0.25">
      <c r="R158" s="57">
        <v>143</v>
      </c>
      <c r="T158" s="59">
        <f t="shared" ca="1" si="29"/>
        <v>-2846150.4980996628</v>
      </c>
      <c r="U158" s="60">
        <f t="shared" ca="1" si="27"/>
        <v>-14.269457603481982</v>
      </c>
      <c r="V158" t="str">
        <f t="shared" si="30"/>
        <v/>
      </c>
      <c r="W158">
        <f t="shared" si="28"/>
        <v>3</v>
      </c>
      <c r="X158">
        <f t="shared" si="26"/>
        <v>15</v>
      </c>
    </row>
    <row r="159" spans="18:24" x14ac:dyDescent="0.25">
      <c r="R159" s="57">
        <v>144</v>
      </c>
      <c r="T159" s="59">
        <f t="shared" ca="1" si="29"/>
        <v>-2886646.3901146823</v>
      </c>
      <c r="U159" s="60">
        <f t="shared" ca="1" si="27"/>
        <v>-14.472487771636946</v>
      </c>
      <c r="V159">
        <f t="shared" si="30"/>
        <v>36</v>
      </c>
      <c r="W159">
        <f t="shared" si="28"/>
        <v>0</v>
      </c>
      <c r="X159">
        <f t="shared" si="26"/>
        <v>16</v>
      </c>
    </row>
  </sheetData>
  <mergeCells count="6">
    <mergeCell ref="F1:I1"/>
    <mergeCell ref="E1:E2"/>
    <mergeCell ref="B1:B2"/>
    <mergeCell ref="A1:A2"/>
    <mergeCell ref="D1:D2"/>
    <mergeCell ref="C1:C2"/>
  </mergeCells>
  <conditionalFormatting sqref="G16:G63">
    <cfRule type="cellIs" dxfId="10" priority="5" operator="greaterThan">
      <formula>0</formula>
    </cfRule>
    <cfRule type="cellIs" dxfId="9" priority="6" operator="lessThan">
      <formula>0</formula>
    </cfRule>
  </conditionalFormatting>
  <conditionalFormatting sqref="T16:T159">
    <cfRule type="cellIs" dxfId="8" priority="1" operator="greaterThan">
      <formula>0</formula>
    </cfRule>
    <cfRule type="cellIs" dxfId="7" priority="2" operator="lessThan">
      <formula>0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F453FA9D-DC0F-497B-B64F-0195ADDED87D}">
          <x14:formula1>
            <xm:f>Список!$A$1:$A$10</xm:f>
          </x14:formula1>
          <xm:sqref>L3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4EA19-B490-438E-9BCC-A522DD820C42}">
  <sheetPr codeName="Лист3"/>
  <dimension ref="A1:AA27"/>
  <sheetViews>
    <sheetView zoomScale="115" zoomScaleNormal="115" workbookViewId="0">
      <pane xSplit="1" topLeftCell="B1" activePane="topRight" state="frozen"/>
      <selection pane="topRight" activeCell="H2" sqref="H2"/>
    </sheetView>
  </sheetViews>
  <sheetFormatPr defaultRowHeight="15" x14ac:dyDescent="0.25"/>
  <cols>
    <col min="1" max="1" width="14" customWidth="1"/>
    <col min="2" max="2" width="7.85546875" customWidth="1"/>
    <col min="3" max="3" width="7.5703125" customWidth="1"/>
    <col min="4" max="4" width="7" customWidth="1"/>
    <col min="5" max="5" width="10.42578125" customWidth="1"/>
    <col min="6" max="6" width="8.28515625" customWidth="1"/>
    <col min="7" max="7" width="7" bestFit="1" customWidth="1"/>
    <col min="8" max="8" width="8.42578125" customWidth="1"/>
    <col min="9" max="9" width="9.28515625" customWidth="1"/>
    <col min="10" max="10" width="7.5703125" bestFit="1" customWidth="1"/>
    <col min="11" max="11" width="10.5703125" customWidth="1"/>
    <col min="12" max="12" width="9.140625" bestFit="1" customWidth="1"/>
    <col min="13" max="13" width="5.28515625" bestFit="1" customWidth="1"/>
    <col min="14" max="14" width="6.140625" bestFit="1" customWidth="1"/>
    <col min="15" max="15" width="6.85546875" customWidth="1"/>
    <col min="16" max="16" width="6.5703125" bestFit="1" customWidth="1"/>
    <col min="17" max="17" width="7.7109375" bestFit="1" customWidth="1"/>
    <col min="18" max="18" width="9.7109375" customWidth="1"/>
    <col min="19" max="19" width="7.5703125" customWidth="1"/>
    <col min="20" max="20" width="9.28515625" customWidth="1"/>
    <col min="21" max="21" width="10.28515625" customWidth="1"/>
    <col min="22" max="23" width="14.5703125" bestFit="1" customWidth="1"/>
    <col min="24" max="24" width="14.5703125" customWidth="1"/>
    <col min="25" max="25" width="11.85546875" customWidth="1"/>
    <col min="26" max="26" width="7.140625" customWidth="1"/>
    <col min="27" max="27" width="7.42578125" bestFit="1" customWidth="1"/>
  </cols>
  <sheetData>
    <row r="1" spans="1:27" ht="15.75" customHeight="1" thickBot="1" x14ac:dyDescent="0.3">
      <c r="A1" s="269" t="s">
        <v>9</v>
      </c>
      <c r="B1" s="261" t="s">
        <v>65</v>
      </c>
      <c r="C1" s="266" t="s">
        <v>62</v>
      </c>
      <c r="D1" s="262" t="s">
        <v>63</v>
      </c>
      <c r="E1" s="271" t="s">
        <v>64</v>
      </c>
      <c r="F1" s="272"/>
      <c r="G1" s="272"/>
      <c r="H1" s="272"/>
      <c r="I1" s="272"/>
      <c r="J1" s="272"/>
      <c r="K1" s="272"/>
      <c r="L1" s="272"/>
      <c r="M1" s="272"/>
      <c r="N1" s="272"/>
      <c r="O1" s="272"/>
      <c r="P1" s="272"/>
      <c r="Q1" s="272"/>
      <c r="R1" s="272"/>
      <c r="S1" s="272"/>
      <c r="T1" s="272"/>
      <c r="U1" s="273"/>
      <c r="V1" s="261" t="s">
        <v>91</v>
      </c>
      <c r="W1" s="266"/>
      <c r="X1" s="266"/>
      <c r="Y1" s="262"/>
    </row>
    <row r="2" spans="1:27" ht="45.75" thickBot="1" x14ac:dyDescent="0.3">
      <c r="A2" s="270"/>
      <c r="B2" s="73" t="s">
        <v>69</v>
      </c>
      <c r="C2" s="72" t="s">
        <v>62</v>
      </c>
      <c r="D2" s="101" t="s">
        <v>63</v>
      </c>
      <c r="E2" s="52" t="s">
        <v>66</v>
      </c>
      <c r="F2" s="52" t="s">
        <v>67</v>
      </c>
      <c r="G2" s="52" t="s">
        <v>68</v>
      </c>
      <c r="H2" s="52" t="s">
        <v>153</v>
      </c>
      <c r="I2" s="52" t="s">
        <v>71</v>
      </c>
      <c r="J2" s="122" t="s">
        <v>72</v>
      </c>
      <c r="K2" s="52" t="s">
        <v>73</v>
      </c>
      <c r="L2" s="122" t="s">
        <v>74</v>
      </c>
      <c r="M2" s="52" t="s">
        <v>75</v>
      </c>
      <c r="N2" s="52" t="s">
        <v>76</v>
      </c>
      <c r="O2" s="52" t="s">
        <v>77</v>
      </c>
      <c r="P2" s="52" t="s">
        <v>78</v>
      </c>
      <c r="Q2" s="52" t="s">
        <v>79</v>
      </c>
      <c r="R2" s="52" t="s">
        <v>80</v>
      </c>
      <c r="S2" s="122" t="s">
        <v>81</v>
      </c>
      <c r="T2" s="52" t="s">
        <v>47</v>
      </c>
      <c r="U2" s="52" t="s">
        <v>89</v>
      </c>
      <c r="V2" s="52" t="s">
        <v>84</v>
      </c>
      <c r="W2" s="52" t="s">
        <v>83</v>
      </c>
      <c r="X2" s="102" t="s">
        <v>82</v>
      </c>
      <c r="Y2" s="102" t="s">
        <v>93</v>
      </c>
      <c r="AA2" s="135" t="s">
        <v>100</v>
      </c>
    </row>
    <row r="3" spans="1:27" ht="15.75" customHeight="1" x14ac:dyDescent="0.25">
      <c r="A3" s="90" t="s">
        <v>5</v>
      </c>
      <c r="B3" s="94">
        <v>1</v>
      </c>
      <c r="C3" s="95"/>
      <c r="D3" s="96"/>
      <c r="E3" s="117">
        <f>База!I3</f>
        <v>7</v>
      </c>
      <c r="F3" s="123">
        <f>База!J3</f>
        <v>7</v>
      </c>
      <c r="G3" s="96">
        <f>База!K3</f>
        <v>0</v>
      </c>
      <c r="H3" s="96">
        <f>База!M3</f>
        <v>1</v>
      </c>
      <c r="I3" s="123">
        <v>8</v>
      </c>
      <c r="J3" s="123">
        <v>3</v>
      </c>
      <c r="K3" s="123"/>
      <c r="L3" s="123"/>
      <c r="M3" s="123"/>
      <c r="N3" s="123"/>
      <c r="O3" s="123"/>
      <c r="P3" s="123"/>
      <c r="Q3" s="123"/>
      <c r="R3" s="123"/>
      <c r="S3" s="123"/>
      <c r="T3" s="118">
        <f>Провиант!B3</f>
        <v>3</v>
      </c>
      <c r="U3" s="118">
        <f>Провиант!C3</f>
        <v>3</v>
      </c>
      <c r="V3" s="121">
        <f>IF($AA$2=$AA$12,SUMPRODUCT(E3:U3,$E$12:$U$12),SUMPRODUCT(E3:U3,$E$13:$U$13))</f>
        <v>96.75</v>
      </c>
      <c r="W3" s="121">
        <f>IF($AA$2=$AA$12,SUMPRODUCT(B3:D3,$B$12:$D$12),SUMPRODUCT(B3:D3,$B$13:$D$13))</f>
        <v>60</v>
      </c>
      <c r="X3" s="123">
        <f>W3-V3</f>
        <v>-36.75</v>
      </c>
      <c r="Y3" s="128">
        <f>W3/V3</f>
        <v>0.62015503875968991</v>
      </c>
    </row>
    <row r="4" spans="1:27" x14ac:dyDescent="0.25">
      <c r="A4" s="91" t="s">
        <v>0</v>
      </c>
      <c r="B4" s="10">
        <v>3</v>
      </c>
      <c r="C4" s="2"/>
      <c r="D4" s="97"/>
      <c r="E4" s="83">
        <f>База!I4</f>
        <v>10</v>
      </c>
      <c r="F4" s="82">
        <f>База!J4</f>
        <v>13</v>
      </c>
      <c r="G4" s="97">
        <f>База!K4</f>
        <v>5</v>
      </c>
      <c r="H4" s="82">
        <f>База!M4</f>
        <v>4</v>
      </c>
      <c r="I4" s="82">
        <v>14</v>
      </c>
      <c r="J4" s="82">
        <v>10</v>
      </c>
      <c r="K4" s="82">
        <v>2</v>
      </c>
      <c r="L4" s="82">
        <v>5</v>
      </c>
      <c r="M4" s="82"/>
      <c r="N4" s="82"/>
      <c r="O4" s="82"/>
      <c r="P4" s="82"/>
      <c r="Q4" s="82"/>
      <c r="R4" s="82"/>
      <c r="S4" s="82"/>
      <c r="T4" s="124">
        <f>Провиант!B4</f>
        <v>5</v>
      </c>
      <c r="U4" s="124">
        <f>Провиант!C4</f>
        <v>10</v>
      </c>
      <c r="V4" s="124">
        <f t="shared" ref="V4:V11" si="0">IF($AA$2=$AA$12,SUMPRODUCT(E4:U4,$E$12:$U$12),SUMPRODUCT(E4:U4,$E$13:$U$13))</f>
        <v>220.75</v>
      </c>
      <c r="W4" s="124">
        <f t="shared" ref="W4:W11" si="1">IF($AA$2=$AA$12,SUMPRODUCT(B4:D4,$B$12:$D$12),SUMPRODUCT(B4:D4,$B$13:$D$13))</f>
        <v>180</v>
      </c>
      <c r="X4" s="82">
        <f t="shared" ref="X4:X11" si="2">W4-V4</f>
        <v>-40.75</v>
      </c>
      <c r="Y4" s="129">
        <f t="shared" ref="Y4:Y11" si="3">W4/V4</f>
        <v>0.81540203850509629</v>
      </c>
    </row>
    <row r="5" spans="1:27" x14ac:dyDescent="0.25">
      <c r="A5" s="92" t="s">
        <v>4</v>
      </c>
      <c r="B5" s="8">
        <v>2</v>
      </c>
      <c r="C5" s="4">
        <v>1</v>
      </c>
      <c r="D5" s="98"/>
      <c r="E5" s="85">
        <f>База!I5</f>
        <v>15</v>
      </c>
      <c r="F5" s="81">
        <f>База!J5</f>
        <v>7</v>
      </c>
      <c r="G5" s="98">
        <f>База!K5</f>
        <v>12</v>
      </c>
      <c r="H5" s="81">
        <f>База!M5</f>
        <v>5</v>
      </c>
      <c r="I5" s="81">
        <v>16</v>
      </c>
      <c r="J5" s="81">
        <v>7</v>
      </c>
      <c r="K5" s="81"/>
      <c r="L5" s="81">
        <v>7</v>
      </c>
      <c r="M5" s="81"/>
      <c r="N5" s="81"/>
      <c r="O5" s="81"/>
      <c r="P5" s="81"/>
      <c r="Q5" s="81"/>
      <c r="R5" s="81"/>
      <c r="S5" s="81"/>
      <c r="T5" s="121">
        <f>Провиант!B5</f>
        <v>8</v>
      </c>
      <c r="U5" s="121">
        <f>Провиант!C5</f>
        <v>8</v>
      </c>
      <c r="V5" s="121">
        <f t="shared" si="0"/>
        <v>258</v>
      </c>
      <c r="W5" s="121">
        <f t="shared" si="1"/>
        <v>270</v>
      </c>
      <c r="X5" s="81">
        <f t="shared" si="2"/>
        <v>12</v>
      </c>
      <c r="Y5" s="130">
        <f t="shared" si="3"/>
        <v>1.0465116279069768</v>
      </c>
    </row>
    <row r="6" spans="1:27" x14ac:dyDescent="0.25">
      <c r="A6" s="91" t="s">
        <v>1</v>
      </c>
      <c r="B6" s="10">
        <v>3</v>
      </c>
      <c r="C6" s="2"/>
      <c r="D6" s="97"/>
      <c r="E6" s="83">
        <f>База!I6</f>
        <v>12</v>
      </c>
      <c r="F6" s="82">
        <f>База!J6</f>
        <v>9</v>
      </c>
      <c r="G6" s="97">
        <f>База!K6</f>
        <v>3</v>
      </c>
      <c r="H6" s="82">
        <f>База!M6</f>
        <v>2</v>
      </c>
      <c r="I6" s="82">
        <v>16</v>
      </c>
      <c r="J6" s="82">
        <v>5</v>
      </c>
      <c r="K6" s="82"/>
      <c r="L6" s="82">
        <v>2</v>
      </c>
      <c r="M6" s="82"/>
      <c r="N6" s="82"/>
      <c r="O6" s="82"/>
      <c r="P6" s="82"/>
      <c r="Q6" s="82"/>
      <c r="R6" s="82"/>
      <c r="S6" s="82"/>
      <c r="T6" s="124">
        <f>Провиант!B6</f>
        <v>5</v>
      </c>
      <c r="U6" s="124">
        <f>Провиант!C6</f>
        <v>20</v>
      </c>
      <c r="V6" s="124">
        <f t="shared" si="0"/>
        <v>180.25</v>
      </c>
      <c r="W6" s="124">
        <f t="shared" si="1"/>
        <v>180</v>
      </c>
      <c r="X6" s="82">
        <f t="shared" si="2"/>
        <v>-0.25</v>
      </c>
      <c r="Y6" s="129">
        <f t="shared" si="3"/>
        <v>0.9986130374479889</v>
      </c>
    </row>
    <row r="7" spans="1:27" ht="30" x14ac:dyDescent="0.25">
      <c r="A7" s="92" t="s">
        <v>7</v>
      </c>
      <c r="B7" s="8">
        <v>3</v>
      </c>
      <c r="C7" s="4">
        <v>1</v>
      </c>
      <c r="D7" s="98"/>
      <c r="E7" s="85">
        <f>База!I7</f>
        <v>23</v>
      </c>
      <c r="F7" s="81">
        <f>База!J7</f>
        <v>12</v>
      </c>
      <c r="G7" s="98">
        <f>База!K7</f>
        <v>9</v>
      </c>
      <c r="H7" s="81">
        <f>База!M7</f>
        <v>5</v>
      </c>
      <c r="I7" s="81">
        <v>29</v>
      </c>
      <c r="J7" s="81">
        <v>7</v>
      </c>
      <c r="K7" s="81"/>
      <c r="L7" s="81">
        <v>7</v>
      </c>
      <c r="M7" s="81"/>
      <c r="N7" s="81"/>
      <c r="O7" s="81"/>
      <c r="P7" s="81"/>
      <c r="Q7" s="81"/>
      <c r="R7" s="81"/>
      <c r="S7" s="81"/>
      <c r="T7" s="121">
        <f>Провиант!B7</f>
        <v>10</v>
      </c>
      <c r="U7" s="121">
        <f>Провиант!C7</f>
        <v>15</v>
      </c>
      <c r="V7" s="121">
        <f t="shared" si="0"/>
        <v>324</v>
      </c>
      <c r="W7" s="121">
        <f t="shared" si="1"/>
        <v>330</v>
      </c>
      <c r="X7" s="81">
        <f t="shared" si="2"/>
        <v>6</v>
      </c>
      <c r="Y7" s="130">
        <f t="shared" si="3"/>
        <v>1.0185185185185186</v>
      </c>
    </row>
    <row r="8" spans="1:27" x14ac:dyDescent="0.25">
      <c r="A8" s="91" t="s">
        <v>2</v>
      </c>
      <c r="B8" s="10">
        <v>1</v>
      </c>
      <c r="C8" s="2">
        <v>2</v>
      </c>
      <c r="D8" s="97"/>
      <c r="E8" s="83">
        <f>База!I8</f>
        <v>20</v>
      </c>
      <c r="F8" s="82">
        <f>База!J8</f>
        <v>14</v>
      </c>
      <c r="G8" s="97">
        <f>База!K8</f>
        <v>7</v>
      </c>
      <c r="H8" s="82">
        <f>База!M8</f>
        <v>6</v>
      </c>
      <c r="I8" s="82">
        <v>26</v>
      </c>
      <c r="J8" s="82">
        <v>6</v>
      </c>
      <c r="K8" s="82"/>
      <c r="L8" s="82">
        <v>3</v>
      </c>
      <c r="M8" s="82"/>
      <c r="N8" s="82"/>
      <c r="O8" s="82"/>
      <c r="P8" s="82"/>
      <c r="Q8" s="82"/>
      <c r="R8" s="82"/>
      <c r="S8" s="82"/>
      <c r="T8" s="124">
        <f>Провиант!B8</f>
        <v>6</v>
      </c>
      <c r="U8" s="124">
        <f>Провиант!C8</f>
        <v>23</v>
      </c>
      <c r="V8" s="124">
        <f t="shared" si="0"/>
        <v>306.5</v>
      </c>
      <c r="W8" s="124">
        <f t="shared" si="1"/>
        <v>360</v>
      </c>
      <c r="X8" s="82">
        <f t="shared" si="2"/>
        <v>53.5</v>
      </c>
      <c r="Y8" s="129">
        <f t="shared" si="3"/>
        <v>1.1745513866231647</v>
      </c>
    </row>
    <row r="9" spans="1:27" x14ac:dyDescent="0.25">
      <c r="A9" s="92" t="s">
        <v>6</v>
      </c>
      <c r="B9" s="8">
        <v>2</v>
      </c>
      <c r="C9" s="4"/>
      <c r="D9" s="98"/>
      <c r="E9" s="85">
        <f>База!I9</f>
        <v>6</v>
      </c>
      <c r="F9" s="81">
        <f>База!J9</f>
        <v>6</v>
      </c>
      <c r="G9" s="98">
        <f>База!K9</f>
        <v>0</v>
      </c>
      <c r="H9" s="81">
        <f>База!M9</f>
        <v>1</v>
      </c>
      <c r="I9" s="81">
        <v>6</v>
      </c>
      <c r="J9" s="81">
        <v>2</v>
      </c>
      <c r="K9" s="81"/>
      <c r="L9" s="81"/>
      <c r="M9" s="81"/>
      <c r="N9" s="81"/>
      <c r="O9" s="81"/>
      <c r="P9" s="81"/>
      <c r="Q9" s="81"/>
      <c r="R9" s="81"/>
      <c r="S9" s="81"/>
      <c r="T9" s="121">
        <f>Провиант!B9</f>
        <v>4</v>
      </c>
      <c r="U9" s="121">
        <f>Провиант!C9</f>
        <v>4</v>
      </c>
      <c r="V9" s="121">
        <f t="shared" si="0"/>
        <v>82.5</v>
      </c>
      <c r="W9" s="121">
        <f t="shared" si="1"/>
        <v>120</v>
      </c>
      <c r="X9" s="81">
        <f t="shared" si="2"/>
        <v>37.5</v>
      </c>
      <c r="Y9" s="130">
        <f t="shared" si="3"/>
        <v>1.4545454545454546</v>
      </c>
    </row>
    <row r="10" spans="1:27" x14ac:dyDescent="0.25">
      <c r="A10" s="91" t="s">
        <v>8</v>
      </c>
      <c r="B10" s="10">
        <v>1</v>
      </c>
      <c r="C10" s="2"/>
      <c r="D10" s="97"/>
      <c r="E10" s="83">
        <f>База!I10</f>
        <v>3</v>
      </c>
      <c r="F10" s="82">
        <f>База!J10</f>
        <v>2</v>
      </c>
      <c r="G10" s="97">
        <f>База!K10</f>
        <v>1</v>
      </c>
      <c r="H10" s="82">
        <f>База!M10</f>
        <v>0</v>
      </c>
      <c r="I10" s="82">
        <v>4</v>
      </c>
      <c r="J10" s="82">
        <v>4</v>
      </c>
      <c r="K10" s="82"/>
      <c r="L10" s="82">
        <v>2</v>
      </c>
      <c r="M10" s="82"/>
      <c r="N10" s="82"/>
      <c r="O10" s="82"/>
      <c r="P10" s="82"/>
      <c r="Q10" s="82"/>
      <c r="R10" s="82"/>
      <c r="S10" s="82"/>
      <c r="T10" s="124">
        <f>Провиант!B10</f>
        <v>3</v>
      </c>
      <c r="U10" s="124">
        <f>Провиант!C10</f>
        <v>7</v>
      </c>
      <c r="V10" s="124">
        <f t="shared" si="0"/>
        <v>51.25</v>
      </c>
      <c r="W10" s="124">
        <f t="shared" si="1"/>
        <v>60</v>
      </c>
      <c r="X10" s="82">
        <f t="shared" si="2"/>
        <v>8.75</v>
      </c>
      <c r="Y10" s="129">
        <f t="shared" si="3"/>
        <v>1.1707317073170731</v>
      </c>
    </row>
    <row r="11" spans="1:27" ht="15.75" thickBot="1" x14ac:dyDescent="0.3">
      <c r="A11" s="93" t="s">
        <v>3</v>
      </c>
      <c r="B11" s="12">
        <v>1</v>
      </c>
      <c r="C11" s="13"/>
      <c r="D11" s="99"/>
      <c r="E11" s="86">
        <f>База!I11</f>
        <v>3</v>
      </c>
      <c r="F11" s="89">
        <f>База!J11</f>
        <v>2</v>
      </c>
      <c r="G11" s="99">
        <f>База!K11</f>
        <v>0</v>
      </c>
      <c r="H11" s="99">
        <f>База!M11</f>
        <v>0</v>
      </c>
      <c r="I11" s="89">
        <v>4</v>
      </c>
      <c r="J11" s="89">
        <v>5</v>
      </c>
      <c r="K11" s="89"/>
      <c r="L11" s="89">
        <v>1</v>
      </c>
      <c r="M11" s="89"/>
      <c r="N11" s="89"/>
      <c r="O11" s="89"/>
      <c r="P11" s="89"/>
      <c r="Q11" s="89"/>
      <c r="R11" s="89"/>
      <c r="S11" s="89"/>
      <c r="T11" s="125">
        <f>Провиант!B11</f>
        <v>15</v>
      </c>
      <c r="U11" s="125">
        <f>Провиант!C11</f>
        <v>20</v>
      </c>
      <c r="V11" s="125">
        <f t="shared" si="0"/>
        <v>55.25</v>
      </c>
      <c r="W11" s="125">
        <f t="shared" si="1"/>
        <v>60</v>
      </c>
      <c r="X11" s="89">
        <f t="shared" si="2"/>
        <v>4.75</v>
      </c>
      <c r="Y11" s="131">
        <f t="shared" si="3"/>
        <v>1.0859728506787329</v>
      </c>
    </row>
    <row r="12" spans="1:27" x14ac:dyDescent="0.25">
      <c r="A12" s="136" t="s">
        <v>70</v>
      </c>
      <c r="B12" s="136">
        <v>60</v>
      </c>
      <c r="C12" s="136">
        <v>150</v>
      </c>
      <c r="D12" s="136">
        <v>500</v>
      </c>
      <c r="E12" s="136">
        <v>5</v>
      </c>
      <c r="F12" s="136">
        <v>6</v>
      </c>
      <c r="G12" s="136">
        <v>7</v>
      </c>
      <c r="H12" s="138">
        <v>3.5</v>
      </c>
      <c r="I12" s="136">
        <v>1</v>
      </c>
      <c r="J12" s="136">
        <v>2</v>
      </c>
      <c r="K12" s="136">
        <v>0.5</v>
      </c>
      <c r="L12" s="136">
        <v>0.5</v>
      </c>
      <c r="M12" s="136">
        <v>0.5</v>
      </c>
      <c r="N12" s="136">
        <v>4</v>
      </c>
      <c r="O12" s="136">
        <v>0.5</v>
      </c>
      <c r="P12" s="136">
        <v>1.5</v>
      </c>
      <c r="Q12" s="136">
        <v>1.5</v>
      </c>
      <c r="R12" s="136">
        <v>15</v>
      </c>
      <c r="S12" s="136">
        <v>0.1</v>
      </c>
      <c r="T12" s="136">
        <v>0.25</v>
      </c>
      <c r="U12" s="136">
        <v>0.5</v>
      </c>
      <c r="V12" s="57"/>
      <c r="W12" s="59"/>
      <c r="X12" s="45">
        <f>SUM(X3:X11)</f>
        <v>44.75</v>
      </c>
      <c r="Y12" s="100"/>
      <c r="AA12" t="s">
        <v>100</v>
      </c>
    </row>
    <row r="13" spans="1:27" x14ac:dyDescent="0.25">
      <c r="B13" s="57"/>
      <c r="C13" s="57"/>
      <c r="D13" s="57"/>
      <c r="E13" s="57"/>
      <c r="F13" s="57"/>
      <c r="G13" s="57"/>
      <c r="H13" s="57"/>
      <c r="I13" s="57"/>
      <c r="J13" s="57"/>
      <c r="K13" s="57"/>
      <c r="L13" s="57"/>
      <c r="M13" s="57"/>
      <c r="N13" s="57"/>
      <c r="O13" s="57"/>
      <c r="P13" s="57"/>
      <c r="Q13" s="57"/>
      <c r="R13" s="57"/>
      <c r="S13" s="57"/>
      <c r="T13" s="57"/>
      <c r="U13" s="57"/>
      <c r="AA13" t="s">
        <v>101</v>
      </c>
    </row>
    <row r="15" spans="1:27" x14ac:dyDescent="0.25">
      <c r="C15" t="s">
        <v>116</v>
      </c>
      <c r="L15" s="172"/>
      <c r="M15" s="173"/>
      <c r="Y15" s="127"/>
    </row>
    <row r="16" spans="1:27" x14ac:dyDescent="0.25">
      <c r="A16" s="155" t="s">
        <v>110</v>
      </c>
      <c r="B16" s="155"/>
      <c r="C16" s="155">
        <v>1</v>
      </c>
      <c r="D16" s="155"/>
      <c r="E16" s="165">
        <f t="shared" ref="E16:E22" si="4">C16/$C$23*($Y$3*7)</f>
        <v>0.6201550387596898</v>
      </c>
      <c r="F16" s="170">
        <f>1-E16</f>
        <v>0.3798449612403102</v>
      </c>
      <c r="H16" s="171">
        <f>1-(C16)/($C$23)</f>
        <v>0.85714285714285721</v>
      </c>
      <c r="I16" s="170">
        <f>(1-$Y$3)*H16</f>
        <v>0.32558139534883723</v>
      </c>
      <c r="J16" s="170"/>
      <c r="K16" s="100"/>
      <c r="L16" s="100"/>
      <c r="N16" s="100"/>
      <c r="V16" s="161" t="s">
        <v>94</v>
      </c>
      <c r="W16" s="161"/>
      <c r="X16" s="161"/>
      <c r="Y16" s="162">
        <f>I19*-1</f>
        <v>-0.32558139534883723</v>
      </c>
    </row>
    <row r="17" spans="1:27" x14ac:dyDescent="0.25">
      <c r="A17" s="157" t="s">
        <v>111</v>
      </c>
      <c r="B17" s="157"/>
      <c r="C17" s="157">
        <v>1</v>
      </c>
      <c r="D17" s="157"/>
      <c r="E17" s="165">
        <f t="shared" si="4"/>
        <v>0.6201550387596898</v>
      </c>
      <c r="F17" s="170">
        <f t="shared" ref="F17:F22" si="5">1-E17</f>
        <v>0.3798449612403102</v>
      </c>
      <c r="H17" s="171">
        <f t="shared" ref="H17:H22" si="6">1-(C17)/($C$23)</f>
        <v>0.85714285714285721</v>
      </c>
      <c r="I17" s="170">
        <f t="shared" ref="I17:I22" si="7">(1-$Y$3)*H17</f>
        <v>0.32558139534883723</v>
      </c>
      <c r="J17" s="170"/>
      <c r="L17" s="100"/>
      <c r="N17" s="100"/>
      <c r="V17" s="163" t="s">
        <v>85</v>
      </c>
      <c r="W17" s="163"/>
      <c r="X17" s="163"/>
      <c r="Y17" s="164">
        <f>I20*-1</f>
        <v>-0.32558139534883723</v>
      </c>
    </row>
    <row r="18" spans="1:27" x14ac:dyDescent="0.25">
      <c r="A18" s="159" t="s">
        <v>112</v>
      </c>
      <c r="B18" s="159"/>
      <c r="C18" s="159">
        <v>1</v>
      </c>
      <c r="D18" s="159"/>
      <c r="E18" s="165">
        <f t="shared" si="4"/>
        <v>0.6201550387596898</v>
      </c>
      <c r="F18" s="170">
        <f t="shared" si="5"/>
        <v>0.3798449612403102</v>
      </c>
      <c r="H18" s="171">
        <f t="shared" si="6"/>
        <v>0.85714285714285721</v>
      </c>
      <c r="I18" s="170">
        <f t="shared" si="7"/>
        <v>0.32558139534883723</v>
      </c>
      <c r="J18" s="170"/>
      <c r="L18" s="100"/>
      <c r="N18" s="100"/>
      <c r="V18" s="159" t="s">
        <v>86</v>
      </c>
      <c r="W18" s="159"/>
      <c r="X18" s="159"/>
      <c r="Y18" s="160">
        <f>I18*-1</f>
        <v>-0.32558139534883723</v>
      </c>
    </row>
    <row r="19" spans="1:27" x14ac:dyDescent="0.25">
      <c r="A19" s="161" t="s">
        <v>12</v>
      </c>
      <c r="B19" s="161"/>
      <c r="C19" s="161">
        <v>1</v>
      </c>
      <c r="D19" s="161"/>
      <c r="E19" s="165">
        <f t="shared" si="4"/>
        <v>0.6201550387596898</v>
      </c>
      <c r="F19" s="170">
        <f t="shared" si="5"/>
        <v>0.3798449612403102</v>
      </c>
      <c r="H19" s="171">
        <f t="shared" si="6"/>
        <v>0.85714285714285721</v>
      </c>
      <c r="I19" s="170">
        <f t="shared" si="7"/>
        <v>0.32558139534883723</v>
      </c>
      <c r="J19" s="170"/>
      <c r="L19" s="100"/>
      <c r="N19" s="100"/>
      <c r="V19" s="157" t="s">
        <v>95</v>
      </c>
      <c r="W19" s="157"/>
      <c r="X19" s="157"/>
      <c r="Y19" s="158">
        <f>I17*-0.5</f>
        <v>-0.16279069767441862</v>
      </c>
    </row>
    <row r="20" spans="1:27" x14ac:dyDescent="0.25">
      <c r="A20" s="163" t="s">
        <v>113</v>
      </c>
      <c r="B20" s="163"/>
      <c r="C20" s="163">
        <v>1</v>
      </c>
      <c r="D20" s="163"/>
      <c r="E20" s="165">
        <f t="shared" si="4"/>
        <v>0.6201550387596898</v>
      </c>
      <c r="F20" s="170">
        <f t="shared" si="5"/>
        <v>0.3798449612403102</v>
      </c>
      <c r="H20" s="171">
        <f t="shared" si="6"/>
        <v>0.85714285714285721</v>
      </c>
      <c r="I20" s="170">
        <f t="shared" si="7"/>
        <v>0.32558139534883723</v>
      </c>
      <c r="J20" s="170"/>
      <c r="L20" s="100"/>
      <c r="N20" s="100"/>
      <c r="V20" s="145" t="s">
        <v>109</v>
      </c>
      <c r="W20" s="145"/>
      <c r="X20" s="145"/>
      <c r="Y20" s="169">
        <f>I22*-0.5</f>
        <v>-0.16279069767441862</v>
      </c>
    </row>
    <row r="21" spans="1:27" x14ac:dyDescent="0.25">
      <c r="A21" t="s">
        <v>114</v>
      </c>
      <c r="C21">
        <v>1</v>
      </c>
      <c r="E21" s="165">
        <f t="shared" si="4"/>
        <v>0.6201550387596898</v>
      </c>
      <c r="F21" s="170">
        <f t="shared" si="5"/>
        <v>0.3798449612403102</v>
      </c>
      <c r="H21" s="171">
        <f t="shared" si="6"/>
        <v>0.85714285714285721</v>
      </c>
      <c r="I21" s="170">
        <f t="shared" si="7"/>
        <v>0.32558139534883723</v>
      </c>
      <c r="J21" s="170"/>
      <c r="L21" s="100"/>
      <c r="N21" s="100"/>
      <c r="V21" t="s">
        <v>88</v>
      </c>
      <c r="Y21" s="127">
        <f>I21*-1</f>
        <v>-0.32558139534883723</v>
      </c>
    </row>
    <row r="22" spans="1:27" x14ac:dyDescent="0.25">
      <c r="A22" s="145" t="s">
        <v>115</v>
      </c>
      <c r="B22" s="145"/>
      <c r="C22" s="145">
        <v>1</v>
      </c>
      <c r="D22" s="145"/>
      <c r="E22" s="165">
        <f t="shared" si="4"/>
        <v>0.6201550387596898</v>
      </c>
      <c r="F22" s="170">
        <f t="shared" si="5"/>
        <v>0.3798449612403102</v>
      </c>
      <c r="H22" s="171">
        <f t="shared" si="6"/>
        <v>0.85714285714285721</v>
      </c>
      <c r="I22" s="170">
        <f t="shared" si="7"/>
        <v>0.32558139534883723</v>
      </c>
      <c r="J22" s="170"/>
      <c r="L22" s="100"/>
      <c r="N22" s="100"/>
      <c r="V22" s="155" t="s">
        <v>87</v>
      </c>
      <c r="W22" s="155"/>
      <c r="X22" s="155"/>
      <c r="Y22" s="156">
        <f>I16*-1</f>
        <v>-0.32558139534883723</v>
      </c>
    </row>
    <row r="23" spans="1:27" x14ac:dyDescent="0.25">
      <c r="C23" s="166">
        <f>SUM(C16:C22)</f>
        <v>7</v>
      </c>
      <c r="D23" s="166"/>
      <c r="E23" s="165">
        <f>SUM(E16:E22)</f>
        <v>4.3410852713178283</v>
      </c>
      <c r="H23" s="170">
        <f>SUM(H16:H22)</f>
        <v>6.0000000000000018</v>
      </c>
      <c r="I23" s="170"/>
      <c r="J23" s="170"/>
      <c r="V23" s="155" t="s">
        <v>105</v>
      </c>
      <c r="W23" s="155"/>
      <c r="X23" s="155"/>
      <c r="Y23" s="156">
        <f>I16*-1</f>
        <v>-0.32558139534883723</v>
      </c>
    </row>
    <row r="24" spans="1:27" x14ac:dyDescent="0.25">
      <c r="C24" s="167"/>
      <c r="D24" s="167"/>
      <c r="E24" s="168">
        <f>Y3*7</f>
        <v>4.3410852713178292</v>
      </c>
      <c r="V24" s="155" t="s">
        <v>106</v>
      </c>
      <c r="W24" s="155"/>
      <c r="X24" s="155"/>
      <c r="Y24" s="156">
        <f>I16*Z24*-0.5</f>
        <v>-5.6976744186046514E-2</v>
      </c>
      <c r="Z24" s="100">
        <f>35%</f>
        <v>0.35</v>
      </c>
      <c r="AA24" t="s">
        <v>107</v>
      </c>
    </row>
    <row r="25" spans="1:27" x14ac:dyDescent="0.25">
      <c r="V25" s="155" t="s">
        <v>108</v>
      </c>
      <c r="W25" s="155"/>
      <c r="X25" s="155"/>
      <c r="Y25" s="156">
        <f>I16*-0.25</f>
        <v>-8.1395348837209308E-2</v>
      </c>
      <c r="Z25" s="100"/>
    </row>
    <row r="26" spans="1:27" x14ac:dyDescent="0.25">
      <c r="Z26">
        <f>Z24*0.5</f>
        <v>0.17499999999999999</v>
      </c>
    </row>
    <row r="27" spans="1:27" x14ac:dyDescent="0.25">
      <c r="E27" s="100">
        <f>F16/6*-1</f>
        <v>-6.3307493540051704E-2</v>
      </c>
      <c r="F27" s="170">
        <f>F17+E27</f>
        <v>0.31653746770025848</v>
      </c>
      <c r="Y27" s="154">
        <f>Z24*-0.5</f>
        <v>-0.17499999999999999</v>
      </c>
    </row>
  </sheetData>
  <mergeCells count="4">
    <mergeCell ref="A1:A2"/>
    <mergeCell ref="B1:D1"/>
    <mergeCell ref="V1:Y1"/>
    <mergeCell ref="E1:U1"/>
  </mergeCells>
  <conditionalFormatting sqref="X3:X11">
    <cfRule type="cellIs" dxfId="6" priority="1" operator="lessThan">
      <formula>0</formula>
    </cfRule>
    <cfRule type="cellIs" dxfId="5" priority="2" operator="greaterThan">
      <formula>0</formula>
    </cfRule>
  </conditionalFormatting>
  <dataValidations disablePrompts="1" count="1">
    <dataValidation type="list" allowBlank="1" showInputMessage="1" showErrorMessage="1" sqref="AA2" xr:uid="{CF468174-D99B-46DA-AFEB-8821176AE034}">
      <formula1>электричество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837487-1621-4217-9441-90B0250417C7}">
  <dimension ref="A1:W219"/>
  <sheetViews>
    <sheetView tabSelected="1" topLeftCell="A46" workbookViewId="0">
      <selection activeCell="B59" sqref="B59"/>
    </sheetView>
  </sheetViews>
  <sheetFormatPr defaultRowHeight="15" x14ac:dyDescent="0.25"/>
  <cols>
    <col min="1" max="1" width="24.7109375" style="182" customWidth="1"/>
    <col min="2" max="2" width="22.7109375" style="182" customWidth="1"/>
    <col min="3" max="3" width="13.42578125" style="182" customWidth="1"/>
    <col min="4" max="4" width="9.7109375" style="182" bestFit="1" customWidth="1"/>
    <col min="5" max="5" width="12.7109375" style="182" bestFit="1" customWidth="1"/>
    <col min="6" max="6" width="11.28515625" style="182" bestFit="1" customWidth="1"/>
    <col min="7" max="7" width="16.5703125" style="182" bestFit="1" customWidth="1"/>
    <col min="8" max="8" width="22.42578125" style="182" customWidth="1"/>
    <col min="9" max="9" width="8.42578125" style="182" customWidth="1"/>
    <col min="10" max="14" width="9.140625" style="182"/>
    <col min="15" max="15" width="13.85546875" style="183" customWidth="1"/>
    <col min="16" max="16" width="9.140625" style="183"/>
    <col min="17" max="21" width="9.140625" style="182"/>
    <col min="22" max="22" width="12.42578125" style="182" customWidth="1"/>
    <col min="23" max="23" width="13.28515625" style="182" customWidth="1"/>
    <col min="24" max="16384" width="9.140625" style="182"/>
  </cols>
  <sheetData>
    <row r="1" spans="1:23" customFormat="1" ht="15.75" customHeight="1" thickBot="1" x14ac:dyDescent="0.3">
      <c r="A1" s="269" t="s">
        <v>9</v>
      </c>
      <c r="B1" s="261" t="s">
        <v>151</v>
      </c>
      <c r="C1" s="266"/>
      <c r="D1" s="266"/>
      <c r="E1" s="266"/>
      <c r="F1" s="266"/>
      <c r="G1" s="266"/>
      <c r="H1" s="266"/>
      <c r="I1" s="266"/>
      <c r="J1" s="266"/>
      <c r="K1" s="266"/>
      <c r="L1" s="266"/>
      <c r="M1" s="266"/>
      <c r="N1" s="266"/>
      <c r="O1" s="266"/>
      <c r="P1" s="266"/>
      <c r="Q1" s="266"/>
      <c r="R1" s="266"/>
      <c r="S1" s="266"/>
      <c r="T1" s="266"/>
      <c r="U1" s="262"/>
      <c r="V1" s="261" t="s">
        <v>154</v>
      </c>
      <c r="W1" s="262"/>
    </row>
    <row r="2" spans="1:23" customFormat="1" ht="75.75" thickBot="1" x14ac:dyDescent="0.3">
      <c r="A2" s="270"/>
      <c r="B2" s="177" t="s">
        <v>69</v>
      </c>
      <c r="C2" s="176" t="s">
        <v>62</v>
      </c>
      <c r="D2" s="178" t="s">
        <v>63</v>
      </c>
      <c r="E2" s="52" t="s">
        <v>66</v>
      </c>
      <c r="F2" s="52" t="s">
        <v>67</v>
      </c>
      <c r="G2" s="52" t="s">
        <v>68</v>
      </c>
      <c r="H2" s="174" t="s">
        <v>153</v>
      </c>
      <c r="I2" s="52" t="s">
        <v>155</v>
      </c>
      <c r="J2" s="122" t="s">
        <v>72</v>
      </c>
      <c r="K2" s="52" t="s">
        <v>73</v>
      </c>
      <c r="L2" s="122" t="s">
        <v>74</v>
      </c>
      <c r="M2" s="52" t="s">
        <v>75</v>
      </c>
      <c r="N2" s="52" t="s">
        <v>76</v>
      </c>
      <c r="O2" s="52" t="s">
        <v>77</v>
      </c>
      <c r="P2" s="52" t="s">
        <v>78</v>
      </c>
      <c r="Q2" s="52" t="s">
        <v>79</v>
      </c>
      <c r="R2" s="52" t="s">
        <v>80</v>
      </c>
      <c r="S2" s="122" t="s">
        <v>81</v>
      </c>
      <c r="T2" s="52" t="s">
        <v>47</v>
      </c>
      <c r="U2" s="52" t="s">
        <v>89</v>
      </c>
      <c r="V2" s="175" t="s">
        <v>165</v>
      </c>
      <c r="W2" s="174" t="s">
        <v>93</v>
      </c>
    </row>
    <row r="3" spans="1:23" customFormat="1" ht="15.75" customHeight="1" x14ac:dyDescent="0.25">
      <c r="A3" s="90" t="s">
        <v>5</v>
      </c>
      <c r="B3" s="94">
        <v>1</v>
      </c>
      <c r="C3" s="95"/>
      <c r="D3" s="96"/>
      <c r="E3" s="117">
        <f>База!I3</f>
        <v>7</v>
      </c>
      <c r="F3" s="123">
        <f>База!J3</f>
        <v>7</v>
      </c>
      <c r="G3" s="96">
        <f>База!K3</f>
        <v>0</v>
      </c>
      <c r="H3" s="96">
        <f>База!M3</f>
        <v>1</v>
      </c>
      <c r="I3" s="123">
        <v>8</v>
      </c>
      <c r="J3" s="123">
        <v>3</v>
      </c>
      <c r="K3" s="123"/>
      <c r="L3" s="123"/>
      <c r="M3" s="123"/>
      <c r="N3" s="123"/>
      <c r="O3" s="123"/>
      <c r="P3" s="123"/>
      <c r="Q3" s="123"/>
      <c r="R3" s="123"/>
      <c r="S3" s="123"/>
      <c r="T3" s="123">
        <f>Провиант!B3</f>
        <v>3</v>
      </c>
      <c r="U3" s="229">
        <f>Провиант!C3</f>
        <v>3</v>
      </c>
      <c r="V3" s="236">
        <f>SUMPRODUCT(E3:U3,$E$12:$U$12)</f>
        <v>332380</v>
      </c>
      <c r="W3" s="239">
        <f>$B$24/V3</f>
        <v>17.611745007126633</v>
      </c>
    </row>
    <row r="4" spans="1:23" customFormat="1" x14ac:dyDescent="0.25">
      <c r="A4" s="91" t="s">
        <v>0</v>
      </c>
      <c r="B4" s="10">
        <v>3</v>
      </c>
      <c r="C4" s="2"/>
      <c r="D4" s="97"/>
      <c r="E4" s="83">
        <f>База!I4</f>
        <v>10</v>
      </c>
      <c r="F4" s="82">
        <f>База!J4</f>
        <v>13</v>
      </c>
      <c r="G4" s="97">
        <f>База!K4</f>
        <v>5</v>
      </c>
      <c r="H4" s="82">
        <f>База!M4</f>
        <v>4</v>
      </c>
      <c r="I4" s="82">
        <v>14</v>
      </c>
      <c r="J4" s="82">
        <v>10</v>
      </c>
      <c r="K4" s="82">
        <v>2</v>
      </c>
      <c r="L4" s="82">
        <v>5</v>
      </c>
      <c r="M4" s="82"/>
      <c r="N4" s="82"/>
      <c r="O4" s="82"/>
      <c r="P4" s="82"/>
      <c r="Q4" s="82"/>
      <c r="R4" s="82"/>
      <c r="S4" s="82"/>
      <c r="T4" s="233">
        <f>Провиант!B4</f>
        <v>5</v>
      </c>
      <c r="U4" s="230">
        <f>Провиант!C4</f>
        <v>10</v>
      </c>
      <c r="V4" s="237">
        <f t="shared" ref="V4:V11" si="0">SUMPRODUCT(E4:U4,$E$12:$U$12)</f>
        <v>721070</v>
      </c>
      <c r="W4" s="241">
        <f t="shared" ref="W4:W11" si="1">$B$24/V4</f>
        <v>8.1182018465180228</v>
      </c>
    </row>
    <row r="5" spans="1:23" customFormat="1" x14ac:dyDescent="0.25">
      <c r="A5" s="92" t="s">
        <v>4</v>
      </c>
      <c r="B5" s="8">
        <v>2</v>
      </c>
      <c r="C5" s="4">
        <v>1</v>
      </c>
      <c r="D5" s="98"/>
      <c r="E5" s="85">
        <f>База!I5</f>
        <v>15</v>
      </c>
      <c r="F5" s="81">
        <f>База!J5</f>
        <v>7</v>
      </c>
      <c r="G5" s="98">
        <f>База!K5</f>
        <v>12</v>
      </c>
      <c r="H5" s="81">
        <f>База!M5</f>
        <v>5</v>
      </c>
      <c r="I5" s="81">
        <v>16</v>
      </c>
      <c r="J5" s="81">
        <v>7</v>
      </c>
      <c r="K5" s="81"/>
      <c r="L5" s="81">
        <v>7</v>
      </c>
      <c r="M5" s="81"/>
      <c r="N5" s="81"/>
      <c r="O5" s="81"/>
      <c r="P5" s="81"/>
      <c r="Q5" s="81"/>
      <c r="R5" s="81"/>
      <c r="S5" s="81"/>
      <c r="T5" s="234">
        <f>Провиант!B5</f>
        <v>8</v>
      </c>
      <c r="U5" s="231">
        <f>Провиант!C5</f>
        <v>8</v>
      </c>
      <c r="V5" s="236">
        <f t="shared" si="0"/>
        <v>893610</v>
      </c>
      <c r="W5" s="239">
        <f t="shared" si="1"/>
        <v>6.5507232522786785</v>
      </c>
    </row>
    <row r="6" spans="1:23" customFormat="1" x14ac:dyDescent="0.25">
      <c r="A6" s="91" t="s">
        <v>1</v>
      </c>
      <c r="B6" s="10">
        <v>3</v>
      </c>
      <c r="C6" s="2"/>
      <c r="D6" s="97"/>
      <c r="E6" s="83">
        <f>База!I6</f>
        <v>12</v>
      </c>
      <c r="F6" s="82">
        <f>База!J6</f>
        <v>9</v>
      </c>
      <c r="G6" s="97">
        <f>База!K6</f>
        <v>3</v>
      </c>
      <c r="H6" s="82">
        <f>База!M6</f>
        <v>2</v>
      </c>
      <c r="I6" s="82">
        <v>16</v>
      </c>
      <c r="J6" s="82">
        <v>5</v>
      </c>
      <c r="K6" s="82"/>
      <c r="L6" s="82">
        <v>2</v>
      </c>
      <c r="M6" s="82"/>
      <c r="N6" s="82"/>
      <c r="O6" s="82"/>
      <c r="P6" s="82"/>
      <c r="Q6" s="82"/>
      <c r="R6" s="82"/>
      <c r="S6" s="82"/>
      <c r="T6" s="233">
        <f>Провиант!B6</f>
        <v>5</v>
      </c>
      <c r="U6" s="230">
        <f>Провиант!C6</f>
        <v>20</v>
      </c>
      <c r="V6" s="237">
        <f t="shared" si="0"/>
        <v>740600</v>
      </c>
      <c r="W6" s="241">
        <f t="shared" si="1"/>
        <v>7.9041207203196731</v>
      </c>
    </row>
    <row r="7" spans="1:23" customFormat="1" ht="30" x14ac:dyDescent="0.25">
      <c r="A7" s="92" t="s">
        <v>7</v>
      </c>
      <c r="B7" s="8">
        <v>3</v>
      </c>
      <c r="C7" s="4">
        <v>1</v>
      </c>
      <c r="D7" s="98"/>
      <c r="E7" s="85">
        <f>База!I7</f>
        <v>23</v>
      </c>
      <c r="F7" s="81">
        <f>База!J7</f>
        <v>12</v>
      </c>
      <c r="G7" s="98">
        <f>База!K7</f>
        <v>9</v>
      </c>
      <c r="H7" s="81">
        <f>База!M7</f>
        <v>5</v>
      </c>
      <c r="I7" s="81">
        <v>29</v>
      </c>
      <c r="J7" s="81">
        <v>7</v>
      </c>
      <c r="K7" s="81"/>
      <c r="L7" s="81">
        <v>7</v>
      </c>
      <c r="M7" s="81"/>
      <c r="N7" s="81"/>
      <c r="O7" s="81"/>
      <c r="P7" s="81"/>
      <c r="Q7" s="81"/>
      <c r="R7" s="81"/>
      <c r="S7" s="81"/>
      <c r="T7" s="234">
        <f>Провиант!B7</f>
        <v>10</v>
      </c>
      <c r="U7" s="231">
        <f>Провиант!C7</f>
        <v>15</v>
      </c>
      <c r="V7" s="236">
        <f t="shared" si="0"/>
        <v>1186570</v>
      </c>
      <c r="W7" s="239">
        <f t="shared" si="1"/>
        <v>4.9333724984356175</v>
      </c>
    </row>
    <row r="8" spans="1:23" customFormat="1" x14ac:dyDescent="0.25">
      <c r="A8" s="91" t="s">
        <v>2</v>
      </c>
      <c r="B8" s="10">
        <v>1</v>
      </c>
      <c r="C8" s="2">
        <v>2</v>
      </c>
      <c r="D8" s="97"/>
      <c r="E8" s="83">
        <f>База!I8</f>
        <v>20</v>
      </c>
      <c r="F8" s="82">
        <f>База!J8</f>
        <v>14</v>
      </c>
      <c r="G8" s="97">
        <f>База!K8</f>
        <v>7</v>
      </c>
      <c r="H8" s="82">
        <f>База!M8</f>
        <v>6</v>
      </c>
      <c r="I8" s="82">
        <v>26</v>
      </c>
      <c r="J8" s="82">
        <v>6</v>
      </c>
      <c r="K8" s="82"/>
      <c r="L8" s="82">
        <v>3</v>
      </c>
      <c r="M8" s="82"/>
      <c r="N8" s="82"/>
      <c r="O8" s="82"/>
      <c r="P8" s="82"/>
      <c r="Q8" s="82"/>
      <c r="R8" s="82"/>
      <c r="S8" s="82"/>
      <c r="T8" s="233">
        <f>Провиант!B8</f>
        <v>6</v>
      </c>
      <c r="U8" s="230">
        <f>Провиант!C8</f>
        <v>23</v>
      </c>
      <c r="V8" s="237">
        <f t="shared" si="0"/>
        <v>1172240</v>
      </c>
      <c r="W8" s="241">
        <f t="shared" si="1"/>
        <v>4.9936803090397444</v>
      </c>
    </row>
    <row r="9" spans="1:23" customFormat="1" x14ac:dyDescent="0.25">
      <c r="A9" s="92" t="s">
        <v>6</v>
      </c>
      <c r="B9" s="8">
        <v>2</v>
      </c>
      <c r="C9" s="4"/>
      <c r="D9" s="98"/>
      <c r="E9" s="85">
        <f>База!I9</f>
        <v>6</v>
      </c>
      <c r="F9" s="81">
        <f>База!J9</f>
        <v>6</v>
      </c>
      <c r="G9" s="98">
        <f>База!K9</f>
        <v>0</v>
      </c>
      <c r="H9" s="81">
        <f>База!M9</f>
        <v>1</v>
      </c>
      <c r="I9" s="81">
        <v>6</v>
      </c>
      <c r="J9" s="81">
        <v>2</v>
      </c>
      <c r="K9" s="81"/>
      <c r="L9" s="81"/>
      <c r="M9" s="81"/>
      <c r="N9" s="81"/>
      <c r="O9" s="81"/>
      <c r="P9" s="81"/>
      <c r="Q9" s="81"/>
      <c r="R9" s="81"/>
      <c r="S9" s="81"/>
      <c r="T9" s="234">
        <f>Провиант!B9</f>
        <v>4</v>
      </c>
      <c r="U9" s="231">
        <f>Провиант!C9</f>
        <v>4</v>
      </c>
      <c r="V9" s="236">
        <f t="shared" si="0"/>
        <v>310930</v>
      </c>
      <c r="W9" s="239">
        <f t="shared" si="1"/>
        <v>18.826719214835332</v>
      </c>
    </row>
    <row r="10" spans="1:23" customFormat="1" x14ac:dyDescent="0.25">
      <c r="A10" s="91" t="s">
        <v>8</v>
      </c>
      <c r="B10" s="10">
        <v>1</v>
      </c>
      <c r="C10" s="2"/>
      <c r="D10" s="97"/>
      <c r="E10" s="83">
        <f>База!I10</f>
        <v>3</v>
      </c>
      <c r="F10" s="82">
        <f>База!J10</f>
        <v>2</v>
      </c>
      <c r="G10" s="97">
        <f>База!K10</f>
        <v>1</v>
      </c>
      <c r="H10" s="82">
        <f>База!M10</f>
        <v>0</v>
      </c>
      <c r="I10" s="82">
        <v>4</v>
      </c>
      <c r="J10" s="82">
        <v>4</v>
      </c>
      <c r="K10" s="82"/>
      <c r="L10" s="82">
        <v>2</v>
      </c>
      <c r="M10" s="82"/>
      <c r="N10" s="82"/>
      <c r="O10" s="82"/>
      <c r="P10" s="82"/>
      <c r="Q10" s="82"/>
      <c r="R10" s="82"/>
      <c r="S10" s="82"/>
      <c r="T10" s="233">
        <f>Провиант!B10</f>
        <v>3</v>
      </c>
      <c r="U10" s="230">
        <f>Провиант!C10</f>
        <v>7</v>
      </c>
      <c r="V10" s="237">
        <f t="shared" si="0"/>
        <v>216330</v>
      </c>
      <c r="W10" s="241">
        <f t="shared" si="1"/>
        <v>27.059547013677022</v>
      </c>
    </row>
    <row r="11" spans="1:23" customFormat="1" ht="15.75" thickBot="1" x14ac:dyDescent="0.3">
      <c r="A11" s="93" t="s">
        <v>3</v>
      </c>
      <c r="B11" s="12">
        <v>1</v>
      </c>
      <c r="C11" s="13"/>
      <c r="D11" s="99"/>
      <c r="E11" s="86">
        <f>База!I11</f>
        <v>3</v>
      </c>
      <c r="F11" s="89">
        <f>База!J11</f>
        <v>2</v>
      </c>
      <c r="G11" s="99">
        <f>База!K11</f>
        <v>0</v>
      </c>
      <c r="H11" s="99">
        <f>База!M11</f>
        <v>0</v>
      </c>
      <c r="I11" s="89">
        <v>4</v>
      </c>
      <c r="J11" s="89">
        <v>5</v>
      </c>
      <c r="K11" s="89"/>
      <c r="L11" s="89">
        <v>1</v>
      </c>
      <c r="M11" s="89"/>
      <c r="N11" s="89"/>
      <c r="O11" s="89"/>
      <c r="P11" s="89"/>
      <c r="Q11" s="89"/>
      <c r="R11" s="89"/>
      <c r="S11" s="89"/>
      <c r="T11" s="235">
        <f>Провиант!B11</f>
        <v>15</v>
      </c>
      <c r="U11" s="232">
        <f>Провиант!C11</f>
        <v>20</v>
      </c>
      <c r="V11" s="238">
        <f t="shared" si="0"/>
        <v>423750</v>
      </c>
      <c r="W11" s="240">
        <f t="shared" si="1"/>
        <v>13.81425794800885</v>
      </c>
    </row>
    <row r="12" spans="1:23" customFormat="1" x14ac:dyDescent="0.25">
      <c r="A12" s="136" t="s">
        <v>152</v>
      </c>
      <c r="B12" s="136">
        <v>750</v>
      </c>
      <c r="C12" s="136">
        <v>150</v>
      </c>
      <c r="D12" s="136">
        <v>2000</v>
      </c>
      <c r="E12" s="136">
        <v>22500</v>
      </c>
      <c r="F12" s="136">
        <v>13250</v>
      </c>
      <c r="G12" s="136">
        <v>17630</v>
      </c>
      <c r="H12" s="138">
        <v>16230</v>
      </c>
      <c r="I12" s="136">
        <v>1000</v>
      </c>
      <c r="J12" s="136">
        <v>1500</v>
      </c>
      <c r="K12" s="136">
        <v>250</v>
      </c>
      <c r="L12" s="136">
        <v>250</v>
      </c>
      <c r="M12" s="136">
        <v>100</v>
      </c>
      <c r="N12" s="136">
        <v>8500</v>
      </c>
      <c r="O12" s="136">
        <v>1000</v>
      </c>
      <c r="P12" s="136">
        <v>500</v>
      </c>
      <c r="Q12" s="136">
        <v>1500</v>
      </c>
      <c r="R12" s="136">
        <v>2000</v>
      </c>
      <c r="S12" s="136">
        <v>100</v>
      </c>
      <c r="T12" s="136">
        <v>7600</v>
      </c>
      <c r="U12" s="136">
        <v>10200</v>
      </c>
      <c r="V12" s="57"/>
      <c r="W12" s="100"/>
    </row>
    <row r="15" spans="1:23" ht="15.75" thickBot="1" x14ac:dyDescent="0.3"/>
    <row r="16" spans="1:23" ht="15.75" thickBot="1" x14ac:dyDescent="0.3">
      <c r="A16" s="179" t="s">
        <v>117</v>
      </c>
      <c r="B16" s="180"/>
      <c r="C16" s="181"/>
    </row>
    <row r="17" spans="1:19" ht="15.75" thickBot="1" x14ac:dyDescent="0.3"/>
    <row r="18" spans="1:19" ht="45.75" thickBot="1" x14ac:dyDescent="0.3">
      <c r="A18" s="184" t="s">
        <v>118</v>
      </c>
      <c r="B18" s="184" t="s">
        <v>119</v>
      </c>
      <c r="C18" s="242" t="s">
        <v>120</v>
      </c>
      <c r="F18" s="281" t="s">
        <v>121</v>
      </c>
      <c r="G18" s="282"/>
      <c r="H18" s="183"/>
      <c r="I18" s="183"/>
      <c r="J18" s="183"/>
      <c r="K18" s="183"/>
    </row>
    <row r="19" spans="1:19" ht="15.75" thickBot="1" x14ac:dyDescent="0.3">
      <c r="A19" s="185">
        <v>0.25</v>
      </c>
      <c r="B19" s="186">
        <f>1-((B38+B39+B40)/($S$20+B38+B39+B40))</f>
        <v>0.78125</v>
      </c>
      <c r="C19" s="243">
        <v>7.4999999999999997E-2</v>
      </c>
      <c r="E19" s="183"/>
      <c r="F19" s="187" t="s">
        <v>122</v>
      </c>
      <c r="G19" s="188" t="s">
        <v>123</v>
      </c>
      <c r="H19" s="183"/>
      <c r="I19" s="183"/>
      <c r="J19" s="183"/>
      <c r="K19" s="183"/>
      <c r="O19" s="189" t="s">
        <v>124</v>
      </c>
      <c r="P19" s="189" t="s">
        <v>119</v>
      </c>
    </row>
    <row r="20" spans="1:19" ht="15.75" thickBot="1" x14ac:dyDescent="0.3">
      <c r="A20" s="183"/>
      <c r="B20" s="183"/>
      <c r="C20" s="183"/>
      <c r="E20" s="183"/>
      <c r="F20" s="190">
        <v>0.05</v>
      </c>
      <c r="G20" s="191">
        <f>B29*F20</f>
        <v>3784269.45</v>
      </c>
      <c r="H20" s="183"/>
      <c r="I20" s="183"/>
      <c r="J20" s="183"/>
      <c r="K20" s="183"/>
      <c r="O20" s="183">
        <v>1</v>
      </c>
      <c r="P20" s="192">
        <f>1-(O20/($S$20+O20))</f>
        <v>0.99009900990099009</v>
      </c>
      <c r="S20" s="182">
        <v>100</v>
      </c>
    </row>
    <row r="21" spans="1:19" ht="15.75" thickBot="1" x14ac:dyDescent="0.3">
      <c r="A21" s="183"/>
      <c r="B21" s="183"/>
      <c r="C21" s="183"/>
      <c r="E21" s="183"/>
      <c r="F21" s="183"/>
      <c r="G21" s="183"/>
      <c r="H21" s="183"/>
      <c r="I21" s="183"/>
      <c r="J21" s="183"/>
      <c r="K21" s="183"/>
      <c r="O21" s="183">
        <v>2</v>
      </c>
      <c r="P21" s="192">
        <f t="shared" ref="P21:P84" si="2">1-(O21/($S$20+O21))</f>
        <v>0.98039215686274506</v>
      </c>
    </row>
    <row r="22" spans="1:19" ht="16.5" customHeight="1" thickBot="1" x14ac:dyDescent="0.3">
      <c r="A22" s="283" t="s">
        <v>125</v>
      </c>
      <c r="B22" s="284"/>
      <c r="C22" s="183"/>
      <c r="E22" s="183"/>
      <c r="F22" s="183"/>
      <c r="G22" s="183"/>
      <c r="H22" s="183"/>
      <c r="I22" s="183"/>
      <c r="J22" s="183"/>
      <c r="K22" s="183"/>
      <c r="O22" s="183">
        <v>3</v>
      </c>
      <c r="P22" s="192">
        <f t="shared" si="2"/>
        <v>0.970873786407767</v>
      </c>
    </row>
    <row r="23" spans="1:19" ht="15.75" thickBot="1" x14ac:dyDescent="0.3">
      <c r="A23" s="193" t="s">
        <v>122</v>
      </c>
      <c r="B23" s="194" t="s">
        <v>123</v>
      </c>
      <c r="C23" s="183"/>
      <c r="E23" s="183"/>
      <c r="F23" s="183"/>
      <c r="G23" s="183"/>
      <c r="H23" s="183"/>
      <c r="I23" s="183"/>
      <c r="J23" s="183"/>
      <c r="K23" s="183"/>
      <c r="O23" s="183">
        <v>4</v>
      </c>
      <c r="P23" s="192">
        <f t="shared" si="2"/>
        <v>0.96153846153846156</v>
      </c>
    </row>
    <row r="24" spans="1:19" ht="15.75" thickBot="1" x14ac:dyDescent="0.3">
      <c r="A24" s="195">
        <f>C19*(B19+A19)</f>
        <v>7.7343750000000003E-2</v>
      </c>
      <c r="B24" s="196">
        <f>$B$29*A24</f>
        <v>5853791.8054687502</v>
      </c>
      <c r="C24" s="197" t="s">
        <v>126</v>
      </c>
      <c r="E24" s="183"/>
      <c r="F24" s="183"/>
      <c r="G24" s="183"/>
      <c r="H24" s="183"/>
      <c r="I24" s="183"/>
      <c r="J24" s="183"/>
      <c r="K24" s="183"/>
      <c r="O24" s="183">
        <v>5</v>
      </c>
      <c r="P24" s="192">
        <f t="shared" si="2"/>
        <v>0.95238095238095233</v>
      </c>
    </row>
    <row r="25" spans="1:19" ht="15.75" thickBot="1" x14ac:dyDescent="0.3">
      <c r="A25" s="195">
        <f>C19*(B19+A19)/(0.7+$F$20)</f>
        <v>0.10312500000000001</v>
      </c>
      <c r="B25" s="196">
        <f>$B$29*A25</f>
        <v>7805055.7406250006</v>
      </c>
      <c r="C25" s="197" t="s">
        <v>127</v>
      </c>
      <c r="E25" s="183"/>
      <c r="F25" s="183"/>
      <c r="G25" s="183"/>
      <c r="H25" s="183"/>
      <c r="I25" s="183"/>
      <c r="J25" s="183"/>
      <c r="K25" s="183"/>
      <c r="O25" s="183">
        <v>6</v>
      </c>
      <c r="P25" s="192">
        <f t="shared" si="2"/>
        <v>0.94339622641509435</v>
      </c>
    </row>
    <row r="26" spans="1:19" x14ac:dyDescent="0.25">
      <c r="A26" s="183"/>
      <c r="B26" s="183"/>
      <c r="C26" s="197" t="s">
        <v>128</v>
      </c>
      <c r="E26" s="183"/>
      <c r="F26" s="183"/>
      <c r="G26" s="183"/>
      <c r="H26" s="183"/>
      <c r="I26" s="183"/>
      <c r="J26" s="183"/>
      <c r="K26" s="183"/>
      <c r="O26" s="183">
        <v>7</v>
      </c>
      <c r="P26" s="192">
        <f t="shared" si="2"/>
        <v>0.93457943925233644</v>
      </c>
    </row>
    <row r="27" spans="1:19" ht="15.75" thickBot="1" x14ac:dyDescent="0.3">
      <c r="A27" s="183"/>
      <c r="B27" s="183"/>
      <c r="C27" s="197" t="s">
        <v>129</v>
      </c>
      <c r="D27" s="183"/>
      <c r="E27" s="183"/>
      <c r="F27" s="183"/>
      <c r="G27" s="183"/>
      <c r="H27" s="183"/>
      <c r="I27" s="183"/>
      <c r="J27" s="183"/>
      <c r="K27" s="183"/>
      <c r="O27" s="183">
        <v>8</v>
      </c>
      <c r="P27" s="192">
        <f t="shared" si="2"/>
        <v>0.92592592592592593</v>
      </c>
    </row>
    <row r="28" spans="1:19" ht="16.5" thickBot="1" x14ac:dyDescent="0.3">
      <c r="A28" s="285" t="s">
        <v>130</v>
      </c>
      <c r="B28" s="286"/>
      <c r="C28" s="287"/>
      <c r="D28" s="183"/>
      <c r="E28" s="183"/>
      <c r="F28" s="183"/>
      <c r="G28" s="183"/>
      <c r="H28" s="183"/>
      <c r="I28" s="183"/>
      <c r="J28" s="183"/>
      <c r="K28" s="183"/>
      <c r="O28" s="183">
        <v>9</v>
      </c>
      <c r="P28" s="192">
        <f t="shared" si="2"/>
        <v>0.91743119266055051</v>
      </c>
    </row>
    <row r="29" spans="1:19" ht="15.75" thickBot="1" x14ac:dyDescent="0.3">
      <c r="A29" s="198" t="s">
        <v>131</v>
      </c>
      <c r="B29" s="199">
        <v>75685389</v>
      </c>
      <c r="C29" s="200">
        <v>1</v>
      </c>
      <c r="D29" s="183"/>
      <c r="E29" s="183"/>
      <c r="F29" s="183"/>
      <c r="G29" s="183"/>
      <c r="H29" s="183"/>
      <c r="O29" s="183">
        <v>10</v>
      </c>
      <c r="P29" s="192">
        <f t="shared" si="2"/>
        <v>0.90909090909090906</v>
      </c>
    </row>
    <row r="30" spans="1:19" ht="15.75" thickBot="1" x14ac:dyDescent="0.3">
      <c r="A30" s="201" t="s">
        <v>132</v>
      </c>
      <c r="B30" s="202">
        <f>G20</f>
        <v>3784269.45</v>
      </c>
      <c r="C30" s="200">
        <f>F20</f>
        <v>0.05</v>
      </c>
      <c r="D30" s="183"/>
      <c r="E30" s="183"/>
      <c r="F30" s="183"/>
      <c r="G30" s="183"/>
      <c r="H30" s="183"/>
      <c r="O30" s="183">
        <v>11</v>
      </c>
      <c r="P30" s="192">
        <f t="shared" si="2"/>
        <v>0.90090090090090091</v>
      </c>
    </row>
    <row r="31" spans="1:19" ht="15.75" thickBot="1" x14ac:dyDescent="0.3">
      <c r="A31" s="201" t="s">
        <v>133</v>
      </c>
      <c r="B31" s="202">
        <f>B24</f>
        <v>5853791.8054687502</v>
      </c>
      <c r="C31" s="200">
        <f>A24</f>
        <v>7.7343750000000003E-2</v>
      </c>
      <c r="D31" s="183"/>
      <c r="E31" s="183"/>
      <c r="F31" s="183"/>
      <c r="G31" s="183"/>
      <c r="H31" s="183"/>
      <c r="O31" s="183">
        <v>12</v>
      </c>
      <c r="P31" s="192">
        <f t="shared" si="2"/>
        <v>0.8928571428571429</v>
      </c>
    </row>
    <row r="32" spans="1:19" ht="15.75" thickBot="1" x14ac:dyDescent="0.3">
      <c r="A32" s="203" t="s">
        <v>134</v>
      </c>
      <c r="B32" s="204">
        <f>B29-B30-B31</f>
        <v>66047327.744531244</v>
      </c>
      <c r="C32" s="205">
        <f>C29-C30-C31</f>
        <v>0.87265624999999991</v>
      </c>
      <c r="D32" s="183"/>
      <c r="E32" s="183"/>
      <c r="F32" s="183"/>
      <c r="G32" s="183"/>
      <c r="H32" s="183"/>
      <c r="I32" s="183"/>
      <c r="J32" s="183"/>
      <c r="K32" s="183"/>
      <c r="O32" s="183">
        <v>13</v>
      </c>
      <c r="P32" s="192">
        <f t="shared" si="2"/>
        <v>0.88495575221238942</v>
      </c>
    </row>
    <row r="33" spans="1:16" x14ac:dyDescent="0.25">
      <c r="A33" s="183"/>
      <c r="B33" s="183"/>
      <c r="C33" s="183"/>
      <c r="D33" s="183"/>
      <c r="E33" s="183"/>
      <c r="F33" s="183"/>
      <c r="G33" s="183"/>
      <c r="H33" s="183"/>
      <c r="I33" s="183"/>
      <c r="J33" s="183"/>
      <c r="K33" s="183"/>
      <c r="O33" s="183">
        <v>14</v>
      </c>
      <c r="P33" s="192">
        <f t="shared" si="2"/>
        <v>0.87719298245614041</v>
      </c>
    </row>
    <row r="34" spans="1:16" x14ac:dyDescent="0.25">
      <c r="A34" s="183"/>
      <c r="B34" s="183"/>
      <c r="C34" s="183"/>
      <c r="D34" s="183"/>
      <c r="E34" s="183"/>
      <c r="F34" s="183"/>
      <c r="G34" s="183"/>
      <c r="H34" s="183"/>
      <c r="I34" s="183"/>
      <c r="J34" s="183"/>
      <c r="K34" s="183"/>
      <c r="O34" s="183">
        <v>15</v>
      </c>
      <c r="P34" s="192">
        <f t="shared" si="2"/>
        <v>0.86956521739130432</v>
      </c>
    </row>
    <row r="35" spans="1:16" ht="15.75" thickBot="1" x14ac:dyDescent="0.3">
      <c r="A35" s="183"/>
      <c r="B35" s="183"/>
      <c r="C35" s="183"/>
      <c r="D35" s="183"/>
      <c r="E35" s="183"/>
      <c r="F35" s="183"/>
      <c r="G35" s="183"/>
      <c r="H35" s="183"/>
      <c r="I35" s="183"/>
      <c r="J35" s="183"/>
      <c r="K35" s="183"/>
      <c r="O35" s="183">
        <v>16</v>
      </c>
      <c r="P35" s="192">
        <f t="shared" si="2"/>
        <v>0.86206896551724133</v>
      </c>
    </row>
    <row r="36" spans="1:16" ht="15.75" thickBot="1" x14ac:dyDescent="0.3">
      <c r="A36" s="274" t="s">
        <v>135</v>
      </c>
      <c r="B36" s="275"/>
      <c r="E36" s="278" t="s">
        <v>136</v>
      </c>
      <c r="F36" s="279"/>
      <c r="G36" s="280"/>
      <c r="H36" s="183"/>
      <c r="I36" s="183"/>
      <c r="J36" s="183"/>
      <c r="K36" s="183"/>
      <c r="O36" s="183">
        <v>17</v>
      </c>
      <c r="P36" s="192">
        <f t="shared" si="2"/>
        <v>0.85470085470085466</v>
      </c>
    </row>
    <row r="37" spans="1:16" ht="16.5" thickBot="1" x14ac:dyDescent="0.3">
      <c r="A37" s="276"/>
      <c r="B37" s="277"/>
      <c r="E37" s="206" t="s">
        <v>137</v>
      </c>
      <c r="F37" s="207" t="s">
        <v>138</v>
      </c>
      <c r="G37" s="207" t="s">
        <v>139</v>
      </c>
      <c r="H37" s="207" t="s">
        <v>140</v>
      </c>
      <c r="I37" s="183"/>
      <c r="J37" s="183"/>
      <c r="K37" s="183"/>
      <c r="O37" s="183">
        <v>18</v>
      </c>
      <c r="P37" s="192">
        <f t="shared" si="2"/>
        <v>0.84745762711864403</v>
      </c>
    </row>
    <row r="38" spans="1:16" ht="15.75" thickBot="1" x14ac:dyDescent="0.3">
      <c r="A38" s="208" t="s">
        <v>141</v>
      </c>
      <c r="B38" s="209">
        <v>10</v>
      </c>
      <c r="C38" s="210"/>
      <c r="D38" s="210"/>
      <c r="E38" s="211">
        <v>30575</v>
      </c>
      <c r="F38" s="212">
        <f>B38*E38</f>
        <v>305750</v>
      </c>
      <c r="G38" s="213">
        <f>F38+F39+F40</f>
        <v>898950</v>
      </c>
      <c r="H38" s="214">
        <f>(B24-G38)/(G38/100)/100+1</f>
        <v>6.5118102291214761</v>
      </c>
      <c r="I38" s="183"/>
      <c r="J38" s="183"/>
      <c r="K38" s="183"/>
      <c r="O38" s="183">
        <v>19</v>
      </c>
      <c r="P38" s="192">
        <f t="shared" si="2"/>
        <v>0.84033613445378152</v>
      </c>
    </row>
    <row r="39" spans="1:16" ht="15.75" thickBot="1" x14ac:dyDescent="0.3">
      <c r="A39" s="215" t="s">
        <v>142</v>
      </c>
      <c r="B39" s="209">
        <v>13</v>
      </c>
      <c r="C39" s="210"/>
      <c r="D39" s="210"/>
      <c r="E39" s="211">
        <v>35150</v>
      </c>
      <c r="F39" s="212">
        <f>B39*E39</f>
        <v>456950</v>
      </c>
      <c r="G39" s="216"/>
      <c r="H39" s="217"/>
      <c r="I39" s="183"/>
      <c r="J39" s="183"/>
      <c r="K39" s="183"/>
      <c r="O39" s="183">
        <v>20</v>
      </c>
      <c r="P39" s="192">
        <f t="shared" si="2"/>
        <v>0.83333333333333337</v>
      </c>
    </row>
    <row r="40" spans="1:16" ht="45.75" thickBot="1" x14ac:dyDescent="0.3">
      <c r="A40" s="215" t="s">
        <v>143</v>
      </c>
      <c r="B40" s="209">
        <v>5</v>
      </c>
      <c r="C40" s="218"/>
      <c r="D40" s="210"/>
      <c r="E40" s="211">
        <v>27250</v>
      </c>
      <c r="F40" s="212">
        <f>B40*E40</f>
        <v>136250</v>
      </c>
      <c r="G40" s="216"/>
      <c r="H40" s="219" t="s">
        <v>144</v>
      </c>
      <c r="I40" s="183"/>
      <c r="J40" s="183"/>
      <c r="K40" s="183"/>
      <c r="O40" s="183">
        <v>21</v>
      </c>
      <c r="P40" s="192">
        <f t="shared" si="2"/>
        <v>0.82644628099173556</v>
      </c>
    </row>
    <row r="41" spans="1:16" ht="45.75" thickBot="1" x14ac:dyDescent="0.3">
      <c r="A41" s="208" t="s">
        <v>145</v>
      </c>
      <c r="B41" s="220">
        <f>(B38+B39+B40)*C41</f>
        <v>9.7999999999999989</v>
      </c>
      <c r="C41" s="221">
        <v>0.35</v>
      </c>
      <c r="D41" s="219" t="s">
        <v>146</v>
      </c>
      <c r="E41" s="183"/>
      <c r="F41" s="183"/>
      <c r="G41" s="183"/>
      <c r="H41" s="183"/>
      <c r="I41" s="183"/>
      <c r="J41" s="183"/>
      <c r="K41" s="183"/>
      <c r="O41" s="183">
        <v>22</v>
      </c>
      <c r="P41" s="192">
        <f t="shared" si="2"/>
        <v>0.81967213114754101</v>
      </c>
    </row>
    <row r="42" spans="1:16" ht="30.75" thickBot="1" x14ac:dyDescent="0.3">
      <c r="A42" s="222" t="s">
        <v>147</v>
      </c>
      <c r="B42" s="223">
        <f>B38-B41</f>
        <v>0.20000000000000107</v>
      </c>
      <c r="C42" s="183"/>
      <c r="D42" s="183"/>
      <c r="E42" s="183"/>
      <c r="F42" s="183"/>
      <c r="G42" s="183"/>
      <c r="H42" s="183"/>
      <c r="I42" s="183"/>
      <c r="J42" s="183"/>
      <c r="K42" s="183"/>
      <c r="O42" s="183">
        <v>23</v>
      </c>
      <c r="P42" s="192">
        <f t="shared" si="2"/>
        <v>0.81300813008130079</v>
      </c>
    </row>
    <row r="43" spans="1:16" x14ac:dyDescent="0.25">
      <c r="C43" s="183"/>
      <c r="D43" s="183"/>
      <c r="E43" s="183"/>
      <c r="F43" s="183"/>
      <c r="G43" s="183"/>
      <c r="H43" s="183"/>
      <c r="I43" s="183"/>
      <c r="J43" s="183"/>
      <c r="K43" s="183"/>
      <c r="O43" s="183">
        <v>24</v>
      </c>
      <c r="P43" s="192">
        <f t="shared" si="2"/>
        <v>0.80645161290322576</v>
      </c>
    </row>
    <row r="44" spans="1:16" x14ac:dyDescent="0.25">
      <c r="A44" s="183"/>
      <c r="C44" s="183"/>
      <c r="D44" s="183"/>
      <c r="E44" s="183"/>
      <c r="F44" s="183"/>
      <c r="G44" s="183"/>
      <c r="H44" s="183"/>
      <c r="I44" s="183"/>
      <c r="J44" s="183"/>
      <c r="K44" s="183"/>
      <c r="O44" s="183">
        <v>25</v>
      </c>
      <c r="P44" s="192">
        <f t="shared" si="2"/>
        <v>0.8</v>
      </c>
    </row>
    <row r="45" spans="1:16" x14ac:dyDescent="0.25">
      <c r="A45" s="183"/>
      <c r="B45" s="183"/>
      <c r="C45" s="183"/>
      <c r="D45" s="183"/>
      <c r="E45" s="183"/>
      <c r="F45" s="183"/>
      <c r="G45" s="183"/>
      <c r="H45" s="183"/>
      <c r="I45" s="183"/>
      <c r="J45" s="183"/>
      <c r="K45" s="183"/>
      <c r="O45" s="183">
        <v>26</v>
      </c>
      <c r="P45" s="192">
        <f t="shared" si="2"/>
        <v>0.79365079365079372</v>
      </c>
    </row>
    <row r="46" spans="1:16" x14ac:dyDescent="0.25">
      <c r="O46" s="183">
        <v>27</v>
      </c>
      <c r="P46" s="192">
        <f t="shared" si="2"/>
        <v>0.78740157480314954</v>
      </c>
    </row>
    <row r="47" spans="1:16" ht="15.75" thickBot="1" x14ac:dyDescent="0.3">
      <c r="O47" s="183">
        <v>28</v>
      </c>
      <c r="P47" s="192">
        <f t="shared" si="2"/>
        <v>0.78125</v>
      </c>
    </row>
    <row r="48" spans="1:16" ht="15.75" customHeight="1" thickBot="1" x14ac:dyDescent="0.3">
      <c r="A48" s="224" t="s">
        <v>148</v>
      </c>
      <c r="B48" s="214">
        <f>1-B49/B50</f>
        <v>0.8464328712271284</v>
      </c>
      <c r="D48" s="206" t="s">
        <v>149</v>
      </c>
      <c r="E48" s="225" t="s">
        <v>150</v>
      </c>
      <c r="O48" s="183">
        <v>29</v>
      </c>
      <c r="P48" s="192">
        <f t="shared" si="2"/>
        <v>0.77519379844961245</v>
      </c>
    </row>
    <row r="49" spans="1:16" ht="32.25" thickBot="1" x14ac:dyDescent="0.3">
      <c r="A49" s="224" t="s">
        <v>136</v>
      </c>
      <c r="B49" s="212">
        <f>G38</f>
        <v>898950</v>
      </c>
      <c r="D49" s="226">
        <v>0.9</v>
      </c>
      <c r="E49" s="227" cm="1">
        <f t="array" ref="E49">_xlfn.IFS(D49&lt;=0.1,6,D49&lt;=0.2,5,D49&lt;=0.3,4,D49&lt;=0.5,3,D49&lt;=0.7,2,D49&lt;=0.9,1)</f>
        <v>1</v>
      </c>
      <c r="O49" s="183">
        <v>30</v>
      </c>
      <c r="P49" s="192">
        <f t="shared" si="2"/>
        <v>0.76923076923076916</v>
      </c>
    </row>
    <row r="50" spans="1:16" ht="32.25" thickBot="1" x14ac:dyDescent="0.3">
      <c r="A50" s="224" t="s">
        <v>125</v>
      </c>
      <c r="B50" s="212">
        <f>B24</f>
        <v>5853791.8054687502</v>
      </c>
      <c r="D50" s="214">
        <f>1-B48*D49</f>
        <v>0.23821041589558445</v>
      </c>
      <c r="E50" s="212">
        <f>B50*D50</f>
        <v>1394434.1805468751</v>
      </c>
      <c r="O50" s="183">
        <v>31</v>
      </c>
      <c r="P50" s="192">
        <f t="shared" si="2"/>
        <v>0.76335877862595414</v>
      </c>
    </row>
    <row r="51" spans="1:16" x14ac:dyDescent="0.25">
      <c r="A51" s="228"/>
      <c r="O51" s="183">
        <v>32</v>
      </c>
      <c r="P51" s="192">
        <f t="shared" si="2"/>
        <v>0.75757575757575757</v>
      </c>
    </row>
    <row r="52" spans="1:16" x14ac:dyDescent="0.25">
      <c r="O52" s="183">
        <v>33</v>
      </c>
      <c r="P52" s="192">
        <f t="shared" si="2"/>
        <v>0.75187969924812026</v>
      </c>
    </row>
    <row r="53" spans="1:16" x14ac:dyDescent="0.25">
      <c r="O53" s="183">
        <v>34</v>
      </c>
      <c r="P53" s="192">
        <f t="shared" si="2"/>
        <v>0.74626865671641784</v>
      </c>
    </row>
    <row r="54" spans="1:16" x14ac:dyDescent="0.25">
      <c r="O54" s="183">
        <v>35</v>
      </c>
      <c r="P54" s="192">
        <f t="shared" si="2"/>
        <v>0.7407407407407407</v>
      </c>
    </row>
    <row r="55" spans="1:16" x14ac:dyDescent="0.25">
      <c r="A55" s="288" t="s">
        <v>161</v>
      </c>
      <c r="B55" s="289">
        <v>75777</v>
      </c>
      <c r="C55" s="290"/>
      <c r="D55" s="290"/>
      <c r="E55" s="290"/>
      <c r="F55" s="290"/>
      <c r="O55" s="183">
        <v>36</v>
      </c>
      <c r="P55" s="192">
        <f t="shared" si="2"/>
        <v>0.73529411764705888</v>
      </c>
    </row>
    <row r="56" spans="1:16" x14ac:dyDescent="0.25">
      <c r="A56" s="290" t="s">
        <v>159</v>
      </c>
      <c r="B56" s="291">
        <f>F56/C56</f>
        <v>9.8510100000000005</v>
      </c>
      <c r="C56" s="244">
        <f>ABS((B60-B59)*100/C57)</f>
        <v>307.69230769230768</v>
      </c>
      <c r="D56" s="292"/>
      <c r="E56" s="293">
        <f>B56*C56</f>
        <v>3031.08</v>
      </c>
      <c r="F56" s="293">
        <f>(B60-B59)*B55</f>
        <v>3031.08</v>
      </c>
      <c r="O56" s="183">
        <v>37</v>
      </c>
      <c r="P56" s="192">
        <f t="shared" si="2"/>
        <v>0.72992700729927007</v>
      </c>
    </row>
    <row r="57" spans="1:16" x14ac:dyDescent="0.25">
      <c r="A57" s="189" t="s">
        <v>156</v>
      </c>
      <c r="B57" s="290">
        <v>0.01</v>
      </c>
      <c r="C57" s="290">
        <f>B57+B57*B58</f>
        <v>1.3000000000000001E-2</v>
      </c>
      <c r="D57" s="290"/>
      <c r="E57" s="290"/>
      <c r="F57" s="290"/>
      <c r="O57" s="183">
        <v>38</v>
      </c>
      <c r="P57" s="192">
        <f t="shared" si="2"/>
        <v>0.72463768115942029</v>
      </c>
    </row>
    <row r="58" spans="1:16" x14ac:dyDescent="0.25">
      <c r="A58" s="189" t="s">
        <v>158</v>
      </c>
      <c r="B58" s="290">
        <v>0.3</v>
      </c>
      <c r="C58" s="290"/>
      <c r="D58" s="290"/>
      <c r="E58" s="290"/>
      <c r="F58" s="290"/>
      <c r="O58" s="183">
        <v>39</v>
      </c>
      <c r="P58" s="192">
        <f t="shared" si="2"/>
        <v>0.71942446043165464</v>
      </c>
    </row>
    <row r="59" spans="1:16" x14ac:dyDescent="0.25">
      <c r="A59" s="189" t="s">
        <v>160</v>
      </c>
      <c r="B59" s="294">
        <v>0.01</v>
      </c>
      <c r="C59" s="292"/>
      <c r="E59" s="295">
        <f>C57*E56/100</f>
        <v>0.39404040000000001</v>
      </c>
      <c r="F59" s="296">
        <f>E56*0.01</f>
        <v>30.3108</v>
      </c>
      <c r="O59" s="183">
        <v>40</v>
      </c>
      <c r="P59" s="192">
        <f t="shared" si="2"/>
        <v>0.7142857142857143</v>
      </c>
    </row>
    <row r="60" spans="1:16" x14ac:dyDescent="0.25">
      <c r="A60" s="189" t="s">
        <v>157</v>
      </c>
      <c r="B60" s="294">
        <v>0.05</v>
      </c>
      <c r="C60" s="292"/>
      <c r="D60" s="290"/>
      <c r="E60" s="245"/>
      <c r="F60" s="290"/>
      <c r="O60" s="183">
        <v>41</v>
      </c>
      <c r="P60" s="192">
        <f t="shared" si="2"/>
        <v>0.70921985815602839</v>
      </c>
    </row>
    <row r="61" spans="1:16" x14ac:dyDescent="0.25">
      <c r="A61" s="290"/>
      <c r="B61" s="290"/>
      <c r="C61" s="290"/>
      <c r="D61" s="290"/>
      <c r="E61" s="290"/>
      <c r="F61" s="290"/>
      <c r="O61" s="183">
        <v>42</v>
      </c>
      <c r="P61" s="192">
        <f t="shared" si="2"/>
        <v>0.70422535211267601</v>
      </c>
    </row>
    <row r="62" spans="1:16" x14ac:dyDescent="0.25">
      <c r="A62" s="290"/>
      <c r="B62" s="294">
        <f>B55*C57/100</f>
        <v>9.8510100000000005</v>
      </c>
      <c r="C62" s="290"/>
      <c r="D62" s="290"/>
      <c r="E62" s="290"/>
      <c r="F62" s="290"/>
      <c r="O62" s="183">
        <v>43</v>
      </c>
      <c r="P62" s="192">
        <f t="shared" si="2"/>
        <v>0.69930069930069938</v>
      </c>
    </row>
    <row r="63" spans="1:16" x14ac:dyDescent="0.25">
      <c r="O63" s="183">
        <v>44</v>
      </c>
      <c r="P63" s="192">
        <f t="shared" si="2"/>
        <v>0.69444444444444442</v>
      </c>
    </row>
    <row r="64" spans="1:16" x14ac:dyDescent="0.25">
      <c r="O64" s="183">
        <v>45</v>
      </c>
      <c r="P64" s="192">
        <f t="shared" si="2"/>
        <v>0.68965517241379315</v>
      </c>
    </row>
    <row r="65" spans="1:16" x14ac:dyDescent="0.25">
      <c r="O65" s="183">
        <v>46</v>
      </c>
      <c r="P65" s="192">
        <f t="shared" si="2"/>
        <v>0.68493150684931514</v>
      </c>
    </row>
    <row r="66" spans="1:16" x14ac:dyDescent="0.25">
      <c r="A66" s="288" t="s">
        <v>161</v>
      </c>
      <c r="B66" s="297">
        <v>75777</v>
      </c>
      <c r="O66" s="183">
        <v>47</v>
      </c>
      <c r="P66" s="192">
        <f t="shared" si="2"/>
        <v>0.68027210884353739</v>
      </c>
    </row>
    <row r="67" spans="1:16" x14ac:dyDescent="0.25">
      <c r="A67" s="182" t="s">
        <v>162</v>
      </c>
      <c r="B67" s="293">
        <f>E12*2/1000</f>
        <v>45</v>
      </c>
      <c r="O67" s="183">
        <v>48</v>
      </c>
      <c r="P67" s="192">
        <f t="shared" si="2"/>
        <v>0.67567567567567566</v>
      </c>
    </row>
    <row r="68" spans="1:16" x14ac:dyDescent="0.25">
      <c r="A68" s="189" t="s">
        <v>160</v>
      </c>
      <c r="B68" s="294">
        <v>0.01</v>
      </c>
      <c r="O68" s="183">
        <v>49</v>
      </c>
      <c r="P68" s="192">
        <f t="shared" si="2"/>
        <v>0.67114093959731536</v>
      </c>
    </row>
    <row r="69" spans="1:16" x14ac:dyDescent="0.25">
      <c r="A69" s="189" t="s">
        <v>157</v>
      </c>
      <c r="B69" s="294">
        <v>0.05</v>
      </c>
      <c r="O69" s="183">
        <v>50</v>
      </c>
      <c r="P69" s="192">
        <f t="shared" si="2"/>
        <v>0.66666666666666674</v>
      </c>
    </row>
    <row r="70" spans="1:16" x14ac:dyDescent="0.25">
      <c r="O70" s="183">
        <v>51</v>
      </c>
      <c r="P70" s="192">
        <f t="shared" si="2"/>
        <v>0.66225165562913912</v>
      </c>
    </row>
    <row r="71" spans="1:16" x14ac:dyDescent="0.25">
      <c r="A71" s="182" t="s">
        <v>163</v>
      </c>
      <c r="B71" s="293">
        <f>B66*B69-B67</f>
        <v>3743.8500000000004</v>
      </c>
      <c r="O71" s="183">
        <v>52</v>
      </c>
      <c r="P71" s="192">
        <f t="shared" si="2"/>
        <v>0.65789473684210531</v>
      </c>
    </row>
    <row r="72" spans="1:16" x14ac:dyDescent="0.25">
      <c r="A72" s="182" t="s">
        <v>164</v>
      </c>
      <c r="B72" s="182">
        <f>B66*B68-B67</f>
        <v>712.77</v>
      </c>
      <c r="O72" s="183">
        <v>53</v>
      </c>
      <c r="P72" s="192">
        <f t="shared" si="2"/>
        <v>0.65359477124183007</v>
      </c>
    </row>
    <row r="73" spans="1:16" x14ac:dyDescent="0.25">
      <c r="B73" s="246">
        <f>B71-B72</f>
        <v>3031.0800000000004</v>
      </c>
      <c r="O73" s="183">
        <v>54</v>
      </c>
      <c r="P73" s="192">
        <f t="shared" si="2"/>
        <v>0.64935064935064934</v>
      </c>
    </row>
    <row r="74" spans="1:16" x14ac:dyDescent="0.25">
      <c r="O74" s="183">
        <v>55</v>
      </c>
      <c r="P74" s="192">
        <f t="shared" si="2"/>
        <v>0.64516129032258063</v>
      </c>
    </row>
    <row r="75" spans="1:16" x14ac:dyDescent="0.25">
      <c r="O75" s="183">
        <v>56</v>
      </c>
      <c r="P75" s="192">
        <f t="shared" si="2"/>
        <v>0.64102564102564097</v>
      </c>
    </row>
    <row r="76" spans="1:16" x14ac:dyDescent="0.25">
      <c r="O76" s="183">
        <v>57</v>
      </c>
      <c r="P76" s="192">
        <f t="shared" si="2"/>
        <v>0.63694267515923575</v>
      </c>
    </row>
    <row r="77" spans="1:16" x14ac:dyDescent="0.25">
      <c r="O77" s="183">
        <v>58</v>
      </c>
      <c r="P77" s="192">
        <f t="shared" si="2"/>
        <v>0.63291139240506333</v>
      </c>
    </row>
    <row r="78" spans="1:16" x14ac:dyDescent="0.25">
      <c r="O78" s="183">
        <v>59</v>
      </c>
      <c r="P78" s="192">
        <f t="shared" si="2"/>
        <v>0.62893081761006298</v>
      </c>
    </row>
    <row r="79" spans="1:16" x14ac:dyDescent="0.25">
      <c r="O79" s="183">
        <v>60</v>
      </c>
      <c r="P79" s="192">
        <f t="shared" si="2"/>
        <v>0.625</v>
      </c>
    </row>
    <row r="80" spans="1:16" x14ac:dyDescent="0.25">
      <c r="O80" s="183">
        <v>61</v>
      </c>
      <c r="P80" s="192">
        <f t="shared" si="2"/>
        <v>0.62111801242236031</v>
      </c>
    </row>
    <row r="81" spans="15:16" x14ac:dyDescent="0.25">
      <c r="O81" s="183">
        <v>62</v>
      </c>
      <c r="P81" s="192">
        <f t="shared" si="2"/>
        <v>0.61728395061728403</v>
      </c>
    </row>
    <row r="82" spans="15:16" x14ac:dyDescent="0.25">
      <c r="O82" s="183">
        <v>63</v>
      </c>
      <c r="P82" s="192">
        <f t="shared" si="2"/>
        <v>0.61349693251533743</v>
      </c>
    </row>
    <row r="83" spans="15:16" x14ac:dyDescent="0.25">
      <c r="O83" s="183">
        <v>64</v>
      </c>
      <c r="P83" s="192">
        <f t="shared" si="2"/>
        <v>0.6097560975609756</v>
      </c>
    </row>
    <row r="84" spans="15:16" x14ac:dyDescent="0.25">
      <c r="O84" s="183">
        <v>65</v>
      </c>
      <c r="P84" s="192">
        <f t="shared" si="2"/>
        <v>0.60606060606060608</v>
      </c>
    </row>
    <row r="85" spans="15:16" x14ac:dyDescent="0.25">
      <c r="O85" s="183">
        <v>66</v>
      </c>
      <c r="P85" s="192">
        <f t="shared" ref="P85:P148" si="3">1-(O85/($S$20+O85))</f>
        <v>0.60240963855421681</v>
      </c>
    </row>
    <row r="86" spans="15:16" x14ac:dyDescent="0.25">
      <c r="O86" s="183">
        <v>67</v>
      </c>
      <c r="P86" s="192">
        <f t="shared" si="3"/>
        <v>0.5988023952095809</v>
      </c>
    </row>
    <row r="87" spans="15:16" x14ac:dyDescent="0.25">
      <c r="O87" s="183">
        <v>68</v>
      </c>
      <c r="P87" s="192">
        <f t="shared" si="3"/>
        <v>0.59523809523809523</v>
      </c>
    </row>
    <row r="88" spans="15:16" x14ac:dyDescent="0.25">
      <c r="O88" s="183">
        <v>69</v>
      </c>
      <c r="P88" s="192">
        <f t="shared" si="3"/>
        <v>0.59171597633136097</v>
      </c>
    </row>
    <row r="89" spans="15:16" x14ac:dyDescent="0.25">
      <c r="O89" s="183">
        <v>70</v>
      </c>
      <c r="P89" s="192">
        <f t="shared" si="3"/>
        <v>0.58823529411764708</v>
      </c>
    </row>
    <row r="90" spans="15:16" x14ac:dyDescent="0.25">
      <c r="O90" s="183">
        <v>71</v>
      </c>
      <c r="P90" s="192">
        <f t="shared" si="3"/>
        <v>0.58479532163742687</v>
      </c>
    </row>
    <row r="91" spans="15:16" x14ac:dyDescent="0.25">
      <c r="O91" s="183">
        <v>72</v>
      </c>
      <c r="P91" s="192">
        <f t="shared" si="3"/>
        <v>0.58139534883720922</v>
      </c>
    </row>
    <row r="92" spans="15:16" x14ac:dyDescent="0.25">
      <c r="O92" s="183">
        <v>73</v>
      </c>
      <c r="P92" s="192">
        <f t="shared" si="3"/>
        <v>0.57803468208092479</v>
      </c>
    </row>
    <row r="93" spans="15:16" x14ac:dyDescent="0.25">
      <c r="O93" s="183">
        <v>74</v>
      </c>
      <c r="P93" s="192">
        <f t="shared" si="3"/>
        <v>0.57471264367816088</v>
      </c>
    </row>
    <row r="94" spans="15:16" x14ac:dyDescent="0.25">
      <c r="O94" s="183">
        <v>75</v>
      </c>
      <c r="P94" s="192">
        <f t="shared" si="3"/>
        <v>0.5714285714285714</v>
      </c>
    </row>
    <row r="95" spans="15:16" x14ac:dyDescent="0.25">
      <c r="O95" s="183">
        <v>76</v>
      </c>
      <c r="P95" s="192">
        <f t="shared" si="3"/>
        <v>0.56818181818181812</v>
      </c>
    </row>
    <row r="96" spans="15:16" x14ac:dyDescent="0.25">
      <c r="O96" s="183">
        <v>77</v>
      </c>
      <c r="P96" s="192">
        <f t="shared" si="3"/>
        <v>0.56497175141242939</v>
      </c>
    </row>
    <row r="97" spans="15:16" x14ac:dyDescent="0.25">
      <c r="O97" s="183">
        <v>78</v>
      </c>
      <c r="P97" s="192">
        <f t="shared" si="3"/>
        <v>0.5617977528089888</v>
      </c>
    </row>
    <row r="98" spans="15:16" x14ac:dyDescent="0.25">
      <c r="O98" s="183">
        <v>79</v>
      </c>
      <c r="P98" s="192">
        <f t="shared" si="3"/>
        <v>0.55865921787709505</v>
      </c>
    </row>
    <row r="99" spans="15:16" x14ac:dyDescent="0.25">
      <c r="O99" s="183">
        <v>80</v>
      </c>
      <c r="P99" s="192">
        <f t="shared" si="3"/>
        <v>0.55555555555555558</v>
      </c>
    </row>
    <row r="100" spans="15:16" x14ac:dyDescent="0.25">
      <c r="O100" s="183">
        <v>81</v>
      </c>
      <c r="P100" s="192">
        <f t="shared" si="3"/>
        <v>0.55248618784530379</v>
      </c>
    </row>
    <row r="101" spans="15:16" x14ac:dyDescent="0.25">
      <c r="O101" s="183">
        <v>82</v>
      </c>
      <c r="P101" s="192">
        <f t="shared" si="3"/>
        <v>0.5494505494505495</v>
      </c>
    </row>
    <row r="102" spans="15:16" x14ac:dyDescent="0.25">
      <c r="O102" s="183">
        <v>83</v>
      </c>
      <c r="P102" s="192">
        <f t="shared" si="3"/>
        <v>0.54644808743169393</v>
      </c>
    </row>
    <row r="103" spans="15:16" x14ac:dyDescent="0.25">
      <c r="O103" s="183">
        <v>84</v>
      </c>
      <c r="P103" s="192">
        <f t="shared" si="3"/>
        <v>0.54347826086956519</v>
      </c>
    </row>
    <row r="104" spans="15:16" x14ac:dyDescent="0.25">
      <c r="O104" s="183">
        <v>85</v>
      </c>
      <c r="P104" s="192">
        <f t="shared" si="3"/>
        <v>0.54054054054054057</v>
      </c>
    </row>
    <row r="105" spans="15:16" x14ac:dyDescent="0.25">
      <c r="O105" s="183">
        <v>86</v>
      </c>
      <c r="P105" s="192">
        <f t="shared" si="3"/>
        <v>0.5376344086021505</v>
      </c>
    </row>
    <row r="106" spans="15:16" x14ac:dyDescent="0.25">
      <c r="O106" s="183">
        <v>87</v>
      </c>
      <c r="P106" s="192">
        <f t="shared" si="3"/>
        <v>0.53475935828876997</v>
      </c>
    </row>
    <row r="107" spans="15:16" x14ac:dyDescent="0.25">
      <c r="O107" s="183">
        <v>88</v>
      </c>
      <c r="P107" s="192">
        <f t="shared" si="3"/>
        <v>0.53191489361702127</v>
      </c>
    </row>
    <row r="108" spans="15:16" x14ac:dyDescent="0.25">
      <c r="O108" s="183">
        <v>89</v>
      </c>
      <c r="P108" s="192">
        <f t="shared" si="3"/>
        <v>0.52910052910052907</v>
      </c>
    </row>
    <row r="109" spans="15:16" x14ac:dyDescent="0.25">
      <c r="O109" s="183">
        <v>90</v>
      </c>
      <c r="P109" s="192">
        <f t="shared" si="3"/>
        <v>0.52631578947368429</v>
      </c>
    </row>
    <row r="110" spans="15:16" x14ac:dyDescent="0.25">
      <c r="O110" s="183">
        <v>91</v>
      </c>
      <c r="P110" s="192">
        <f t="shared" si="3"/>
        <v>0.52356020942408377</v>
      </c>
    </row>
    <row r="111" spans="15:16" x14ac:dyDescent="0.25">
      <c r="O111" s="183">
        <v>92</v>
      </c>
      <c r="P111" s="192">
        <f t="shared" si="3"/>
        <v>0.52083333333333326</v>
      </c>
    </row>
    <row r="112" spans="15:16" x14ac:dyDescent="0.25">
      <c r="O112" s="183">
        <v>93</v>
      </c>
      <c r="P112" s="192">
        <f t="shared" si="3"/>
        <v>0.5181347150259068</v>
      </c>
    </row>
    <row r="113" spans="15:16" x14ac:dyDescent="0.25">
      <c r="O113" s="183">
        <v>94</v>
      </c>
      <c r="P113" s="192">
        <f t="shared" si="3"/>
        <v>0.51546391752577314</v>
      </c>
    </row>
    <row r="114" spans="15:16" x14ac:dyDescent="0.25">
      <c r="O114" s="183">
        <v>95</v>
      </c>
      <c r="P114" s="192">
        <f t="shared" si="3"/>
        <v>0.51282051282051277</v>
      </c>
    </row>
    <row r="115" spans="15:16" x14ac:dyDescent="0.25">
      <c r="O115" s="183">
        <v>96</v>
      </c>
      <c r="P115" s="192">
        <f t="shared" si="3"/>
        <v>0.51020408163265307</v>
      </c>
    </row>
    <row r="116" spans="15:16" x14ac:dyDescent="0.25">
      <c r="O116" s="183">
        <v>97</v>
      </c>
      <c r="P116" s="192">
        <f t="shared" si="3"/>
        <v>0.50761421319796951</v>
      </c>
    </row>
    <row r="117" spans="15:16" x14ac:dyDescent="0.25">
      <c r="O117" s="183">
        <v>98</v>
      </c>
      <c r="P117" s="192">
        <f t="shared" si="3"/>
        <v>0.50505050505050497</v>
      </c>
    </row>
    <row r="118" spans="15:16" x14ac:dyDescent="0.25">
      <c r="O118" s="183">
        <v>99</v>
      </c>
      <c r="P118" s="192">
        <f t="shared" si="3"/>
        <v>0.50251256281407031</v>
      </c>
    </row>
    <row r="119" spans="15:16" x14ac:dyDescent="0.25">
      <c r="O119" s="183">
        <v>100</v>
      </c>
      <c r="P119" s="192">
        <f t="shared" si="3"/>
        <v>0.5</v>
      </c>
    </row>
    <row r="120" spans="15:16" x14ac:dyDescent="0.25">
      <c r="O120" s="183">
        <v>101</v>
      </c>
      <c r="P120" s="192">
        <f t="shared" si="3"/>
        <v>0.49751243781094523</v>
      </c>
    </row>
    <row r="121" spans="15:16" x14ac:dyDescent="0.25">
      <c r="O121" s="183">
        <v>102</v>
      </c>
      <c r="P121" s="192">
        <f t="shared" si="3"/>
        <v>0.49504950495049505</v>
      </c>
    </row>
    <row r="122" spans="15:16" x14ac:dyDescent="0.25">
      <c r="O122" s="183">
        <v>103</v>
      </c>
      <c r="P122" s="192">
        <f t="shared" si="3"/>
        <v>0.4926108374384236</v>
      </c>
    </row>
    <row r="123" spans="15:16" x14ac:dyDescent="0.25">
      <c r="O123" s="183">
        <v>104</v>
      </c>
      <c r="P123" s="192">
        <f t="shared" si="3"/>
        <v>0.49019607843137258</v>
      </c>
    </row>
    <row r="124" spans="15:16" x14ac:dyDescent="0.25">
      <c r="O124" s="183">
        <v>105</v>
      </c>
      <c r="P124" s="192">
        <f t="shared" si="3"/>
        <v>0.48780487804878048</v>
      </c>
    </row>
    <row r="125" spans="15:16" x14ac:dyDescent="0.25">
      <c r="O125" s="183">
        <v>106</v>
      </c>
      <c r="P125" s="192">
        <f t="shared" si="3"/>
        <v>0.4854368932038835</v>
      </c>
    </row>
    <row r="126" spans="15:16" x14ac:dyDescent="0.25">
      <c r="O126" s="183">
        <v>107</v>
      </c>
      <c r="P126" s="192">
        <f t="shared" si="3"/>
        <v>0.48309178743961356</v>
      </c>
    </row>
    <row r="127" spans="15:16" x14ac:dyDescent="0.25">
      <c r="O127" s="183">
        <v>108</v>
      </c>
      <c r="P127" s="192">
        <f t="shared" si="3"/>
        <v>0.48076923076923073</v>
      </c>
    </row>
    <row r="128" spans="15:16" x14ac:dyDescent="0.25">
      <c r="O128" s="183">
        <v>109</v>
      </c>
      <c r="P128" s="192">
        <f t="shared" si="3"/>
        <v>0.47846889952153115</v>
      </c>
    </row>
    <row r="129" spans="15:16" x14ac:dyDescent="0.25">
      <c r="O129" s="183">
        <v>110</v>
      </c>
      <c r="P129" s="192">
        <f t="shared" si="3"/>
        <v>0.47619047619047616</v>
      </c>
    </row>
    <row r="130" spans="15:16" x14ac:dyDescent="0.25">
      <c r="O130" s="183">
        <v>111</v>
      </c>
      <c r="P130" s="192">
        <f t="shared" si="3"/>
        <v>0.47393364928909953</v>
      </c>
    </row>
    <row r="131" spans="15:16" x14ac:dyDescent="0.25">
      <c r="O131" s="183">
        <v>112</v>
      </c>
      <c r="P131" s="192">
        <f t="shared" si="3"/>
        <v>0.47169811320754718</v>
      </c>
    </row>
    <row r="132" spans="15:16" x14ac:dyDescent="0.25">
      <c r="O132" s="183">
        <v>113</v>
      </c>
      <c r="P132" s="192">
        <f t="shared" si="3"/>
        <v>0.46948356807511737</v>
      </c>
    </row>
    <row r="133" spans="15:16" x14ac:dyDescent="0.25">
      <c r="O133" s="183">
        <v>114</v>
      </c>
      <c r="P133" s="192">
        <f t="shared" si="3"/>
        <v>0.46728971962616828</v>
      </c>
    </row>
    <row r="134" spans="15:16" x14ac:dyDescent="0.25">
      <c r="O134" s="183">
        <v>115</v>
      </c>
      <c r="P134" s="192">
        <f t="shared" si="3"/>
        <v>0.46511627906976749</v>
      </c>
    </row>
    <row r="135" spans="15:16" x14ac:dyDescent="0.25">
      <c r="O135" s="183">
        <v>116</v>
      </c>
      <c r="P135" s="192">
        <f t="shared" si="3"/>
        <v>0.46296296296296291</v>
      </c>
    </row>
    <row r="136" spans="15:16" x14ac:dyDescent="0.25">
      <c r="O136" s="183">
        <v>117</v>
      </c>
      <c r="P136" s="192">
        <f t="shared" si="3"/>
        <v>0.46082949308755761</v>
      </c>
    </row>
    <row r="137" spans="15:16" x14ac:dyDescent="0.25">
      <c r="O137" s="183">
        <v>118</v>
      </c>
      <c r="P137" s="192">
        <f t="shared" si="3"/>
        <v>0.45871559633027525</v>
      </c>
    </row>
    <row r="138" spans="15:16" x14ac:dyDescent="0.25">
      <c r="O138" s="183">
        <v>119</v>
      </c>
      <c r="P138" s="192">
        <f t="shared" si="3"/>
        <v>0.45662100456621002</v>
      </c>
    </row>
    <row r="139" spans="15:16" x14ac:dyDescent="0.25">
      <c r="O139" s="183">
        <v>120</v>
      </c>
      <c r="P139" s="192">
        <f t="shared" si="3"/>
        <v>0.45454545454545459</v>
      </c>
    </row>
    <row r="140" spans="15:16" x14ac:dyDescent="0.25">
      <c r="O140" s="183">
        <v>121</v>
      </c>
      <c r="P140" s="192">
        <f t="shared" si="3"/>
        <v>0.45248868778280538</v>
      </c>
    </row>
    <row r="141" spans="15:16" x14ac:dyDescent="0.25">
      <c r="O141" s="183">
        <v>122</v>
      </c>
      <c r="P141" s="192">
        <f t="shared" si="3"/>
        <v>0.4504504504504504</v>
      </c>
    </row>
    <row r="142" spans="15:16" x14ac:dyDescent="0.25">
      <c r="O142" s="183">
        <v>123</v>
      </c>
      <c r="P142" s="192">
        <f t="shared" si="3"/>
        <v>0.44843049327354256</v>
      </c>
    </row>
    <row r="143" spans="15:16" x14ac:dyDescent="0.25">
      <c r="O143" s="183">
        <v>124</v>
      </c>
      <c r="P143" s="192">
        <f t="shared" si="3"/>
        <v>0.4464285714285714</v>
      </c>
    </row>
    <row r="144" spans="15:16" x14ac:dyDescent="0.25">
      <c r="O144" s="183">
        <v>125</v>
      </c>
      <c r="P144" s="192">
        <f t="shared" si="3"/>
        <v>0.44444444444444442</v>
      </c>
    </row>
    <row r="145" spans="15:16" x14ac:dyDescent="0.25">
      <c r="O145" s="183">
        <v>126</v>
      </c>
      <c r="P145" s="192">
        <f t="shared" si="3"/>
        <v>0.44247787610619471</v>
      </c>
    </row>
    <row r="146" spans="15:16" x14ac:dyDescent="0.25">
      <c r="O146" s="183">
        <v>127</v>
      </c>
      <c r="P146" s="192">
        <f t="shared" si="3"/>
        <v>0.44052863436123346</v>
      </c>
    </row>
    <row r="147" spans="15:16" x14ac:dyDescent="0.25">
      <c r="O147" s="183">
        <v>128</v>
      </c>
      <c r="P147" s="192">
        <f t="shared" si="3"/>
        <v>0.43859649122807021</v>
      </c>
    </row>
    <row r="148" spans="15:16" x14ac:dyDescent="0.25">
      <c r="O148" s="183">
        <v>129</v>
      </c>
      <c r="P148" s="192">
        <f t="shared" si="3"/>
        <v>0.4366812227074236</v>
      </c>
    </row>
    <row r="149" spans="15:16" x14ac:dyDescent="0.25">
      <c r="O149" s="183">
        <v>130</v>
      </c>
      <c r="P149" s="192">
        <f t="shared" ref="P149:P212" si="4">1-(O149/($S$20+O149))</f>
        <v>0.43478260869565222</v>
      </c>
    </row>
    <row r="150" spans="15:16" x14ac:dyDescent="0.25">
      <c r="O150" s="183">
        <v>131</v>
      </c>
      <c r="P150" s="192">
        <f t="shared" si="4"/>
        <v>0.4329004329004329</v>
      </c>
    </row>
    <row r="151" spans="15:16" x14ac:dyDescent="0.25">
      <c r="O151" s="183">
        <v>132</v>
      </c>
      <c r="P151" s="192">
        <f t="shared" si="4"/>
        <v>0.43103448275862066</v>
      </c>
    </row>
    <row r="152" spans="15:16" x14ac:dyDescent="0.25">
      <c r="O152" s="183">
        <v>133</v>
      </c>
      <c r="P152" s="192">
        <f t="shared" si="4"/>
        <v>0.42918454935622319</v>
      </c>
    </row>
    <row r="153" spans="15:16" x14ac:dyDescent="0.25">
      <c r="O153" s="183">
        <v>134</v>
      </c>
      <c r="P153" s="192">
        <f t="shared" si="4"/>
        <v>0.42735042735042739</v>
      </c>
    </row>
    <row r="154" spans="15:16" x14ac:dyDescent="0.25">
      <c r="O154" s="183">
        <v>135</v>
      </c>
      <c r="P154" s="192">
        <f t="shared" si="4"/>
        <v>0.42553191489361697</v>
      </c>
    </row>
    <row r="155" spans="15:16" x14ac:dyDescent="0.25">
      <c r="O155" s="183">
        <v>136</v>
      </c>
      <c r="P155" s="192">
        <f t="shared" si="4"/>
        <v>0.42372881355932202</v>
      </c>
    </row>
    <row r="156" spans="15:16" x14ac:dyDescent="0.25">
      <c r="O156" s="183">
        <v>137</v>
      </c>
      <c r="P156" s="192">
        <f t="shared" si="4"/>
        <v>0.42194092827004215</v>
      </c>
    </row>
    <row r="157" spans="15:16" x14ac:dyDescent="0.25">
      <c r="O157" s="183">
        <v>138</v>
      </c>
      <c r="P157" s="192">
        <f t="shared" si="4"/>
        <v>0.42016806722689071</v>
      </c>
    </row>
    <row r="158" spans="15:16" x14ac:dyDescent="0.25">
      <c r="O158" s="183">
        <v>139</v>
      </c>
      <c r="P158" s="192">
        <f t="shared" si="4"/>
        <v>0.41841004184100417</v>
      </c>
    </row>
    <row r="159" spans="15:16" x14ac:dyDescent="0.25">
      <c r="O159" s="183">
        <v>140</v>
      </c>
      <c r="P159" s="192">
        <f t="shared" si="4"/>
        <v>0.41666666666666663</v>
      </c>
    </row>
    <row r="160" spans="15:16" x14ac:dyDescent="0.25">
      <c r="O160" s="183">
        <v>141</v>
      </c>
      <c r="P160" s="192">
        <f t="shared" si="4"/>
        <v>0.41493775933609955</v>
      </c>
    </row>
    <row r="161" spans="15:16" x14ac:dyDescent="0.25">
      <c r="O161" s="183">
        <v>142</v>
      </c>
      <c r="P161" s="192">
        <f t="shared" si="4"/>
        <v>0.41322314049586772</v>
      </c>
    </row>
    <row r="162" spans="15:16" x14ac:dyDescent="0.25">
      <c r="O162" s="183">
        <v>143</v>
      </c>
      <c r="P162" s="192">
        <f t="shared" si="4"/>
        <v>0.41152263374485598</v>
      </c>
    </row>
    <row r="163" spans="15:16" x14ac:dyDescent="0.25">
      <c r="O163" s="183">
        <v>144</v>
      </c>
      <c r="P163" s="192">
        <f t="shared" si="4"/>
        <v>0.4098360655737705</v>
      </c>
    </row>
    <row r="164" spans="15:16" x14ac:dyDescent="0.25">
      <c r="O164" s="183">
        <v>145</v>
      </c>
      <c r="P164" s="192">
        <f t="shared" si="4"/>
        <v>0.40816326530612246</v>
      </c>
    </row>
    <row r="165" spans="15:16" x14ac:dyDescent="0.25">
      <c r="O165" s="183">
        <v>146</v>
      </c>
      <c r="P165" s="192">
        <f t="shared" si="4"/>
        <v>0.4065040650406504</v>
      </c>
    </row>
    <row r="166" spans="15:16" x14ac:dyDescent="0.25">
      <c r="O166" s="183">
        <v>147</v>
      </c>
      <c r="P166" s="192">
        <f t="shared" si="4"/>
        <v>0.40485829959514175</v>
      </c>
    </row>
    <row r="167" spans="15:16" x14ac:dyDescent="0.25">
      <c r="O167" s="183">
        <v>148</v>
      </c>
      <c r="P167" s="192">
        <f t="shared" si="4"/>
        <v>0.40322580645161288</v>
      </c>
    </row>
    <row r="168" spans="15:16" x14ac:dyDescent="0.25">
      <c r="O168" s="183">
        <v>149</v>
      </c>
      <c r="P168" s="192">
        <f t="shared" si="4"/>
        <v>0.40160642570281124</v>
      </c>
    </row>
    <row r="169" spans="15:16" x14ac:dyDescent="0.25">
      <c r="O169" s="183">
        <v>150</v>
      </c>
      <c r="P169" s="192">
        <f t="shared" si="4"/>
        <v>0.4</v>
      </c>
    </row>
    <row r="170" spans="15:16" x14ac:dyDescent="0.25">
      <c r="O170" s="183">
        <v>151</v>
      </c>
      <c r="P170" s="192">
        <f t="shared" si="4"/>
        <v>0.39840637450199201</v>
      </c>
    </row>
    <row r="171" spans="15:16" x14ac:dyDescent="0.25">
      <c r="O171" s="183">
        <v>152</v>
      </c>
      <c r="P171" s="192">
        <f t="shared" si="4"/>
        <v>0.39682539682539686</v>
      </c>
    </row>
    <row r="172" spans="15:16" x14ac:dyDescent="0.25">
      <c r="O172" s="183">
        <v>153</v>
      </c>
      <c r="P172" s="192">
        <f t="shared" si="4"/>
        <v>0.39525691699604748</v>
      </c>
    </row>
    <row r="173" spans="15:16" x14ac:dyDescent="0.25">
      <c r="O173" s="183">
        <v>154</v>
      </c>
      <c r="P173" s="192">
        <f t="shared" si="4"/>
        <v>0.39370078740157477</v>
      </c>
    </row>
    <row r="174" spans="15:16" x14ac:dyDescent="0.25">
      <c r="O174" s="183">
        <v>155</v>
      </c>
      <c r="P174" s="192">
        <f t="shared" si="4"/>
        <v>0.39215686274509809</v>
      </c>
    </row>
    <row r="175" spans="15:16" x14ac:dyDescent="0.25">
      <c r="O175" s="183">
        <v>156</v>
      </c>
      <c r="P175" s="192">
        <f t="shared" si="4"/>
        <v>0.390625</v>
      </c>
    </row>
    <row r="176" spans="15:16" x14ac:dyDescent="0.25">
      <c r="O176" s="183">
        <v>157</v>
      </c>
      <c r="P176" s="192">
        <f t="shared" si="4"/>
        <v>0.3891050583657587</v>
      </c>
    </row>
    <row r="177" spans="15:16" x14ac:dyDescent="0.25">
      <c r="O177" s="183">
        <v>158</v>
      </c>
      <c r="P177" s="192">
        <f t="shared" si="4"/>
        <v>0.38759689922480622</v>
      </c>
    </row>
    <row r="178" spans="15:16" x14ac:dyDescent="0.25">
      <c r="O178" s="183">
        <v>159</v>
      </c>
      <c r="P178" s="192">
        <f t="shared" si="4"/>
        <v>0.38610038610038611</v>
      </c>
    </row>
    <row r="179" spans="15:16" x14ac:dyDescent="0.25">
      <c r="O179" s="183">
        <v>160</v>
      </c>
      <c r="P179" s="192">
        <f t="shared" si="4"/>
        <v>0.38461538461538458</v>
      </c>
    </row>
    <row r="180" spans="15:16" x14ac:dyDescent="0.25">
      <c r="O180" s="183">
        <v>161</v>
      </c>
      <c r="P180" s="192">
        <f t="shared" si="4"/>
        <v>0.38314176245210729</v>
      </c>
    </row>
    <row r="181" spans="15:16" x14ac:dyDescent="0.25">
      <c r="O181" s="183">
        <v>162</v>
      </c>
      <c r="P181" s="192">
        <f t="shared" si="4"/>
        <v>0.38167938931297707</v>
      </c>
    </row>
    <row r="182" spans="15:16" x14ac:dyDescent="0.25">
      <c r="O182" s="183">
        <v>163</v>
      </c>
      <c r="P182" s="192">
        <f t="shared" si="4"/>
        <v>0.38022813688212931</v>
      </c>
    </row>
    <row r="183" spans="15:16" x14ac:dyDescent="0.25">
      <c r="O183" s="183">
        <v>164</v>
      </c>
      <c r="P183" s="192">
        <f t="shared" si="4"/>
        <v>0.37878787878787878</v>
      </c>
    </row>
    <row r="184" spans="15:16" x14ac:dyDescent="0.25">
      <c r="O184" s="183">
        <v>165</v>
      </c>
      <c r="P184" s="192">
        <f t="shared" si="4"/>
        <v>0.37735849056603776</v>
      </c>
    </row>
    <row r="185" spans="15:16" x14ac:dyDescent="0.25">
      <c r="O185" s="183">
        <v>166</v>
      </c>
      <c r="P185" s="192">
        <f t="shared" si="4"/>
        <v>0.37593984962406013</v>
      </c>
    </row>
    <row r="186" spans="15:16" x14ac:dyDescent="0.25">
      <c r="O186" s="183">
        <v>167</v>
      </c>
      <c r="P186" s="192">
        <f t="shared" si="4"/>
        <v>0.37453183520599254</v>
      </c>
    </row>
    <row r="187" spans="15:16" x14ac:dyDescent="0.25">
      <c r="O187" s="183">
        <v>168</v>
      </c>
      <c r="P187" s="192">
        <f t="shared" si="4"/>
        <v>0.37313432835820892</v>
      </c>
    </row>
    <row r="188" spans="15:16" x14ac:dyDescent="0.25">
      <c r="O188" s="183">
        <v>169</v>
      </c>
      <c r="P188" s="192">
        <f t="shared" si="4"/>
        <v>0.37174721189591076</v>
      </c>
    </row>
    <row r="189" spans="15:16" x14ac:dyDescent="0.25">
      <c r="O189" s="183">
        <v>170</v>
      </c>
      <c r="P189" s="192">
        <f t="shared" si="4"/>
        <v>0.37037037037037035</v>
      </c>
    </row>
    <row r="190" spans="15:16" x14ac:dyDescent="0.25">
      <c r="O190" s="183">
        <v>171</v>
      </c>
      <c r="P190" s="192">
        <f t="shared" si="4"/>
        <v>0.36900369003690037</v>
      </c>
    </row>
    <row r="191" spans="15:16" x14ac:dyDescent="0.25">
      <c r="O191" s="183">
        <v>172</v>
      </c>
      <c r="P191" s="192">
        <f t="shared" si="4"/>
        <v>0.36764705882352944</v>
      </c>
    </row>
    <row r="192" spans="15:16" x14ac:dyDescent="0.25">
      <c r="O192" s="183">
        <v>173</v>
      </c>
      <c r="P192" s="192">
        <f t="shared" si="4"/>
        <v>0.36630036630036633</v>
      </c>
    </row>
    <row r="193" spans="15:16" x14ac:dyDescent="0.25">
      <c r="O193" s="183">
        <v>174</v>
      </c>
      <c r="P193" s="192">
        <f t="shared" si="4"/>
        <v>0.36496350364963503</v>
      </c>
    </row>
    <row r="194" spans="15:16" x14ac:dyDescent="0.25">
      <c r="O194" s="183">
        <v>175</v>
      </c>
      <c r="P194" s="192">
        <f t="shared" si="4"/>
        <v>0.36363636363636365</v>
      </c>
    </row>
    <row r="195" spans="15:16" x14ac:dyDescent="0.25">
      <c r="O195" s="183">
        <v>176</v>
      </c>
      <c r="P195" s="192">
        <f t="shared" si="4"/>
        <v>0.3623188405797102</v>
      </c>
    </row>
    <row r="196" spans="15:16" x14ac:dyDescent="0.25">
      <c r="O196" s="183">
        <v>177</v>
      </c>
      <c r="P196" s="192">
        <f t="shared" si="4"/>
        <v>0.36101083032490977</v>
      </c>
    </row>
    <row r="197" spans="15:16" x14ac:dyDescent="0.25">
      <c r="O197" s="183">
        <v>178</v>
      </c>
      <c r="P197" s="192">
        <f t="shared" si="4"/>
        <v>0.35971223021582732</v>
      </c>
    </row>
    <row r="198" spans="15:16" x14ac:dyDescent="0.25">
      <c r="O198" s="183">
        <v>179</v>
      </c>
      <c r="P198" s="192">
        <f t="shared" si="4"/>
        <v>0.35842293906810041</v>
      </c>
    </row>
    <row r="199" spans="15:16" x14ac:dyDescent="0.25">
      <c r="O199" s="183">
        <v>180</v>
      </c>
      <c r="P199" s="192">
        <f t="shared" si="4"/>
        <v>0.3571428571428571</v>
      </c>
    </row>
    <row r="200" spans="15:16" x14ac:dyDescent="0.25">
      <c r="O200" s="183">
        <v>181</v>
      </c>
      <c r="P200" s="192">
        <f t="shared" si="4"/>
        <v>0.35587188612099641</v>
      </c>
    </row>
    <row r="201" spans="15:16" x14ac:dyDescent="0.25">
      <c r="O201" s="183">
        <v>182</v>
      </c>
      <c r="P201" s="192">
        <f t="shared" si="4"/>
        <v>0.35460992907801414</v>
      </c>
    </row>
    <row r="202" spans="15:16" x14ac:dyDescent="0.25">
      <c r="O202" s="183">
        <v>183</v>
      </c>
      <c r="P202" s="192">
        <f t="shared" si="4"/>
        <v>0.35335689045936391</v>
      </c>
    </row>
    <row r="203" spans="15:16" x14ac:dyDescent="0.25">
      <c r="O203" s="183">
        <v>184</v>
      </c>
      <c r="P203" s="192">
        <f t="shared" si="4"/>
        <v>0.352112676056338</v>
      </c>
    </row>
    <row r="204" spans="15:16" x14ac:dyDescent="0.25">
      <c r="O204" s="183">
        <v>185</v>
      </c>
      <c r="P204" s="192">
        <f t="shared" si="4"/>
        <v>0.35087719298245612</v>
      </c>
    </row>
    <row r="205" spans="15:16" x14ac:dyDescent="0.25">
      <c r="O205" s="183">
        <v>186</v>
      </c>
      <c r="P205" s="192">
        <f t="shared" si="4"/>
        <v>0.34965034965034969</v>
      </c>
    </row>
    <row r="206" spans="15:16" x14ac:dyDescent="0.25">
      <c r="O206" s="183">
        <v>187</v>
      </c>
      <c r="P206" s="192">
        <f t="shared" si="4"/>
        <v>0.34843205574912894</v>
      </c>
    </row>
    <row r="207" spans="15:16" x14ac:dyDescent="0.25">
      <c r="O207" s="183">
        <v>188</v>
      </c>
      <c r="P207" s="192">
        <f t="shared" si="4"/>
        <v>0.34722222222222221</v>
      </c>
    </row>
    <row r="208" spans="15:16" x14ac:dyDescent="0.25">
      <c r="O208" s="183">
        <v>189</v>
      </c>
      <c r="P208" s="192">
        <f t="shared" si="4"/>
        <v>0.34602076124567471</v>
      </c>
    </row>
    <row r="209" spans="15:16" x14ac:dyDescent="0.25">
      <c r="O209" s="183">
        <v>190</v>
      </c>
      <c r="P209" s="192">
        <f t="shared" si="4"/>
        <v>0.34482758620689657</v>
      </c>
    </row>
    <row r="210" spans="15:16" x14ac:dyDescent="0.25">
      <c r="O210" s="183">
        <v>191</v>
      </c>
      <c r="P210" s="192">
        <f t="shared" si="4"/>
        <v>0.3436426116838488</v>
      </c>
    </row>
    <row r="211" spans="15:16" x14ac:dyDescent="0.25">
      <c r="O211" s="183">
        <v>192</v>
      </c>
      <c r="P211" s="192">
        <f t="shared" si="4"/>
        <v>0.34246575342465757</v>
      </c>
    </row>
    <row r="212" spans="15:16" x14ac:dyDescent="0.25">
      <c r="O212" s="183">
        <v>193</v>
      </c>
      <c r="P212" s="192">
        <f t="shared" si="4"/>
        <v>0.34129692832764502</v>
      </c>
    </row>
    <row r="213" spans="15:16" x14ac:dyDescent="0.25">
      <c r="O213" s="183">
        <v>194</v>
      </c>
      <c r="P213" s="192">
        <f t="shared" ref="P213:P219" si="5">1-(O213/($S$20+O213))</f>
        <v>0.34013605442176875</v>
      </c>
    </row>
    <row r="214" spans="15:16" x14ac:dyDescent="0.25">
      <c r="O214" s="183">
        <v>195</v>
      </c>
      <c r="P214" s="192">
        <f t="shared" si="5"/>
        <v>0.33898305084745761</v>
      </c>
    </row>
    <row r="215" spans="15:16" x14ac:dyDescent="0.25">
      <c r="O215" s="183">
        <v>196</v>
      </c>
      <c r="P215" s="192">
        <f t="shared" si="5"/>
        <v>0.33783783783783783</v>
      </c>
    </row>
    <row r="216" spans="15:16" x14ac:dyDescent="0.25">
      <c r="O216" s="183">
        <v>197</v>
      </c>
      <c r="P216" s="192">
        <f t="shared" si="5"/>
        <v>0.33670033670033672</v>
      </c>
    </row>
    <row r="217" spans="15:16" x14ac:dyDescent="0.25">
      <c r="O217" s="183">
        <v>198</v>
      </c>
      <c r="P217" s="192">
        <f t="shared" si="5"/>
        <v>0.33557046979865768</v>
      </c>
    </row>
    <row r="218" spans="15:16" x14ac:dyDescent="0.25">
      <c r="O218" s="183">
        <v>199</v>
      </c>
      <c r="P218" s="192">
        <f t="shared" si="5"/>
        <v>0.33444816053511706</v>
      </c>
    </row>
    <row r="219" spans="15:16" x14ac:dyDescent="0.25">
      <c r="O219" s="183">
        <v>200</v>
      </c>
      <c r="P219" s="192">
        <f t="shared" si="5"/>
        <v>0.33333333333333337</v>
      </c>
    </row>
  </sheetData>
  <mergeCells count="8">
    <mergeCell ref="A36:B37"/>
    <mergeCell ref="E36:G36"/>
    <mergeCell ref="A1:A2"/>
    <mergeCell ref="V1:W1"/>
    <mergeCell ref="B1:U1"/>
    <mergeCell ref="F18:G18"/>
    <mergeCell ref="A22:B22"/>
    <mergeCell ref="A28:C2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17766-DFDA-4C0E-8F03-895D26D1386A}">
  <sheetPr codeName="Лист4"/>
  <dimension ref="A1:H113"/>
  <sheetViews>
    <sheetView workbookViewId="0">
      <selection activeCell="J23" sqref="J23"/>
    </sheetView>
  </sheetViews>
  <sheetFormatPr defaultRowHeight="15" x14ac:dyDescent="0.25"/>
  <cols>
    <col min="1" max="1" width="4.42578125" bestFit="1" customWidth="1"/>
    <col min="2" max="2" width="16" style="51" bestFit="1" customWidth="1"/>
    <col min="3" max="3" width="14" customWidth="1"/>
    <col min="4" max="4" width="19.140625" customWidth="1"/>
    <col min="5" max="5" width="14" bestFit="1" customWidth="1"/>
    <col min="6" max="6" width="12.85546875" bestFit="1" customWidth="1"/>
    <col min="7" max="7" width="11.28515625" customWidth="1"/>
  </cols>
  <sheetData>
    <row r="1" spans="1:8" x14ac:dyDescent="0.25">
      <c r="A1" s="47">
        <v>1</v>
      </c>
      <c r="B1" s="153">
        <f ca="1">IF(A1&gt;0,D1*$E$1,"")</f>
        <v>2168869.6829426945</v>
      </c>
      <c r="C1" s="139">
        <f ca="1">IF(A1&gt;0,RAND(),"")</f>
        <v>0.42777778012744394</v>
      </c>
      <c r="D1" s="140">
        <f ca="1">IF(A1&gt;0,C1/SUM($C$1:$C$100),"")</f>
        <v>2.8656385487332233E-2</v>
      </c>
      <c r="E1" s="75">
        <v>75685389</v>
      </c>
      <c r="F1" s="151">
        <f>E1/COUNT(A:A)*(1-COUNT(A:A)/(COUNT(A:A)*2.5*(1-COUNT(A:A)*0.01)))</f>
        <v>1337475.6891891891</v>
      </c>
      <c r="G1" s="150">
        <f>1-COUNT(A:A)/60</f>
        <v>0.56666666666666665</v>
      </c>
      <c r="H1" t="s">
        <v>104</v>
      </c>
    </row>
    <row r="2" spans="1:8" x14ac:dyDescent="0.25">
      <c r="A2" s="47">
        <v>2</v>
      </c>
      <c r="B2" s="153">
        <f t="shared" ref="B2:B65" ca="1" si="0">IF(A2&gt;0,D2*$E$1,"")</f>
        <v>223625.9104074075</v>
      </c>
      <c r="C2" s="139">
        <f t="shared" ref="C2:C65" ca="1" si="1">IF(A2&gt;0,RAND(),"")</f>
        <v>4.4106935647358125E-2</v>
      </c>
      <c r="D2" s="140">
        <f t="shared" ref="D2:D65" ca="1" si="2">IF(A2&gt;0,C2/SUM($C$1:$C$100),"")</f>
        <v>2.9546774266748831E-3</v>
      </c>
      <c r="E2" s="44">
        <f ca="1">SUM(B:B)</f>
        <v>75685389</v>
      </c>
      <c r="F2" s="44">
        <f>E1/COUNT(A:A)</f>
        <v>2910976.5</v>
      </c>
      <c r="G2" s="44">
        <f>F2*G1</f>
        <v>1649553.3499999999</v>
      </c>
      <c r="H2">
        <v>216</v>
      </c>
    </row>
    <row r="3" spans="1:8" x14ac:dyDescent="0.25">
      <c r="A3" s="47">
        <v>3</v>
      </c>
      <c r="B3" s="153">
        <f t="shared" ca="1" si="0"/>
        <v>4998130.9109305386</v>
      </c>
      <c r="C3" s="139">
        <f t="shared" ca="1" si="1"/>
        <v>0.98580812055212685</v>
      </c>
      <c r="D3" s="140">
        <f t="shared" ca="1" si="2"/>
        <v>6.6038253577986344E-2</v>
      </c>
      <c r="E3" s="44">
        <f ca="1">E1-E2</f>
        <v>0</v>
      </c>
      <c r="G3" s="146">
        <f>1-COUNT(A:A)/(COUNT(A:A)*2.5*(1-COUNT(A:A)*0.01))</f>
        <v>0.45945945945945943</v>
      </c>
    </row>
    <row r="4" spans="1:8" x14ac:dyDescent="0.25">
      <c r="A4" s="47">
        <v>4</v>
      </c>
      <c r="B4" s="153">
        <f t="shared" ca="1" si="0"/>
        <v>2317708.2106558052</v>
      </c>
      <c r="C4" s="139">
        <f t="shared" ca="1" si="1"/>
        <v>0.45713399985944969</v>
      </c>
      <c r="D4" s="140">
        <f t="shared" ca="1" si="2"/>
        <v>3.0622927902977482E-2</v>
      </c>
    </row>
    <row r="5" spans="1:8" x14ac:dyDescent="0.25">
      <c r="A5" s="47">
        <v>5</v>
      </c>
      <c r="B5" s="153">
        <f t="shared" ca="1" si="0"/>
        <v>4355334.2054837421</v>
      </c>
      <c r="C5" s="139">
        <f t="shared" ca="1" si="1"/>
        <v>0.85902588467514984</v>
      </c>
      <c r="D5" s="140">
        <f t="shared" ca="1" si="2"/>
        <v>5.7545244373174091E-2</v>
      </c>
      <c r="E5" s="148">
        <f ca="1">SUM(D1:D100)</f>
        <v>1</v>
      </c>
      <c r="F5" s="44">
        <f ca="1">MIN(B:B)</f>
        <v>106648.96022371105</v>
      </c>
    </row>
    <row r="6" spans="1:8" x14ac:dyDescent="0.25">
      <c r="A6" s="47">
        <v>6</v>
      </c>
      <c r="B6" s="153">
        <f t="shared" ca="1" si="0"/>
        <v>987969.07013372111</v>
      </c>
      <c r="C6" s="139">
        <f t="shared" ca="1" si="1"/>
        <v>0.19486242948583132</v>
      </c>
      <c r="D6" s="140">
        <f t="shared" ca="1" si="2"/>
        <v>1.3053630075597828E-2</v>
      </c>
      <c r="F6" s="44">
        <f ca="1">MAX(B:B)</f>
        <v>4998130.9109305386</v>
      </c>
    </row>
    <row r="7" spans="1:8" x14ac:dyDescent="0.25">
      <c r="A7" s="47">
        <v>7</v>
      </c>
      <c r="B7" s="153">
        <f t="shared" ca="1" si="0"/>
        <v>3827303.2882938338</v>
      </c>
      <c r="C7" s="139">
        <f t="shared" ca="1" si="1"/>
        <v>0.75487951969498834</v>
      </c>
      <c r="D7" s="140">
        <f t="shared" ca="1" si="2"/>
        <v>5.0568588453629194E-2</v>
      </c>
      <c r="E7" s="146"/>
    </row>
    <row r="8" spans="1:8" x14ac:dyDescent="0.25">
      <c r="A8" s="47">
        <v>8</v>
      </c>
      <c r="B8" s="153">
        <f t="shared" ca="1" si="0"/>
        <v>4702341.8013816541</v>
      </c>
      <c r="C8" s="139">
        <f t="shared" ca="1" si="1"/>
        <v>0.92746805076194094</v>
      </c>
      <c r="D8" s="140">
        <f t="shared" ca="1" si="2"/>
        <v>6.2130113401169862E-2</v>
      </c>
    </row>
    <row r="9" spans="1:8" x14ac:dyDescent="0.25">
      <c r="A9" s="47">
        <v>9</v>
      </c>
      <c r="B9" s="153">
        <f t="shared" ca="1" si="0"/>
        <v>4202792.5991966706</v>
      </c>
      <c r="C9" s="139">
        <f t="shared" ca="1" si="1"/>
        <v>0.82893928692898089</v>
      </c>
      <c r="D9" s="140">
        <f t="shared" ca="1" si="2"/>
        <v>5.5529774699270833E-2</v>
      </c>
    </row>
    <row r="10" spans="1:8" x14ac:dyDescent="0.25">
      <c r="A10" s="47">
        <v>10</v>
      </c>
      <c r="B10" s="153">
        <f t="shared" ca="1" si="0"/>
        <v>3397712.9064870575</v>
      </c>
      <c r="C10" s="139">
        <f t="shared" ca="1" si="1"/>
        <v>0.67014910857869281</v>
      </c>
      <c r="D10" s="140">
        <f t="shared" ca="1" si="2"/>
        <v>4.4892586949471285E-2</v>
      </c>
    </row>
    <row r="11" spans="1:8" x14ac:dyDescent="0.25">
      <c r="A11" s="47">
        <v>11</v>
      </c>
      <c r="B11" s="153">
        <f t="shared" ca="1" si="0"/>
        <v>2426909.2460127189</v>
      </c>
      <c r="C11" s="139">
        <f t="shared" ca="1" si="1"/>
        <v>0.47867230474700684</v>
      </c>
      <c r="D11" s="140">
        <f t="shared" ca="1" si="2"/>
        <v>3.2065756390744306E-2</v>
      </c>
      <c r="H11" s="132"/>
    </row>
    <row r="12" spans="1:8" x14ac:dyDescent="0.25">
      <c r="A12" s="47">
        <v>12</v>
      </c>
      <c r="B12" s="153">
        <f t="shared" ca="1" si="0"/>
        <v>1737763.4215556611</v>
      </c>
      <c r="C12" s="139">
        <f t="shared" ca="1" si="1"/>
        <v>0.3427483839652129</v>
      </c>
      <c r="D12" s="140">
        <f t="shared" ca="1" si="2"/>
        <v>2.2960355288068363E-2</v>
      </c>
      <c r="H12" s="132"/>
    </row>
    <row r="13" spans="1:8" x14ac:dyDescent="0.25">
      <c r="A13" s="47">
        <v>13</v>
      </c>
      <c r="B13" s="153">
        <f t="shared" ca="1" si="0"/>
        <v>4457071.3650240526</v>
      </c>
      <c r="C13" s="139">
        <f t="shared" ca="1" si="1"/>
        <v>0.87909204937231911</v>
      </c>
      <c r="D13" s="140">
        <f t="shared" ca="1" si="2"/>
        <v>5.8889455731330816E-2</v>
      </c>
      <c r="G13" s="152"/>
      <c r="H13" s="132"/>
    </row>
    <row r="14" spans="1:8" x14ac:dyDescent="0.25">
      <c r="A14" s="47">
        <v>14</v>
      </c>
      <c r="B14" s="153">
        <f t="shared" ca="1" si="0"/>
        <v>4398296.8437055396</v>
      </c>
      <c r="C14" s="139">
        <f t="shared" ca="1" si="1"/>
        <v>0.86749963584216483</v>
      </c>
      <c r="D14" s="140">
        <f t="shared" ca="1" si="2"/>
        <v>5.8112892089456525E-2</v>
      </c>
      <c r="H14" s="132"/>
    </row>
    <row r="15" spans="1:8" x14ac:dyDescent="0.25">
      <c r="A15" s="47">
        <v>15</v>
      </c>
      <c r="B15" s="153">
        <f t="shared" ca="1" si="0"/>
        <v>3315539.4979018094</v>
      </c>
      <c r="C15" s="139">
        <f t="shared" ca="1" si="1"/>
        <v>0.65394160723061312</v>
      </c>
      <c r="D15" s="140">
        <f t="shared" ca="1" si="2"/>
        <v>4.3806863407966488E-2</v>
      </c>
      <c r="H15" s="132"/>
    </row>
    <row r="16" spans="1:8" x14ac:dyDescent="0.25">
      <c r="A16" s="47">
        <v>16</v>
      </c>
      <c r="B16" s="153">
        <f t="shared" ca="1" si="0"/>
        <v>4875290.2520998921</v>
      </c>
      <c r="C16" s="139">
        <f t="shared" ca="1" si="1"/>
        <v>0.96157959969758233</v>
      </c>
      <c r="D16" s="140">
        <f t="shared" ca="1" si="2"/>
        <v>6.4415210340002249E-2</v>
      </c>
      <c r="H16" s="132"/>
    </row>
    <row r="17" spans="1:8" x14ac:dyDescent="0.25">
      <c r="A17" s="47">
        <v>17</v>
      </c>
      <c r="B17" s="153">
        <f t="shared" ca="1" si="0"/>
        <v>1610895.7346025582</v>
      </c>
      <c r="C17" s="139">
        <f t="shared" ca="1" si="1"/>
        <v>0.31772559079256479</v>
      </c>
      <c r="D17" s="140">
        <f t="shared" ca="1" si="2"/>
        <v>2.1284104579320562E-2</v>
      </c>
      <c r="H17" s="132"/>
    </row>
    <row r="18" spans="1:8" x14ac:dyDescent="0.25">
      <c r="A18" s="47">
        <v>18</v>
      </c>
      <c r="B18" s="153">
        <f t="shared" ca="1" si="0"/>
        <v>154580.58572373056</v>
      </c>
      <c r="C18" s="139">
        <f t="shared" ca="1" si="1"/>
        <v>3.0488756577563669E-2</v>
      </c>
      <c r="D18" s="140">
        <f t="shared" ca="1" si="2"/>
        <v>2.0424098728452139E-3</v>
      </c>
      <c r="H18" s="132"/>
    </row>
    <row r="19" spans="1:8" x14ac:dyDescent="0.25">
      <c r="A19" s="47">
        <v>19</v>
      </c>
      <c r="B19" s="153">
        <f t="shared" ca="1" si="0"/>
        <v>106648.96022371105</v>
      </c>
      <c r="C19" s="139">
        <f t="shared" ca="1" si="1"/>
        <v>2.1034945444716513E-2</v>
      </c>
      <c r="D19" s="140">
        <f t="shared" ca="1" si="2"/>
        <v>1.4091089658495519E-3</v>
      </c>
      <c r="H19" s="132"/>
    </row>
    <row r="20" spans="1:8" x14ac:dyDescent="0.25">
      <c r="A20" s="47">
        <v>20</v>
      </c>
      <c r="B20" s="153">
        <f t="shared" ca="1" si="0"/>
        <v>4858320.7039081911</v>
      </c>
      <c r="C20" s="139">
        <f t="shared" ca="1" si="1"/>
        <v>0.95823260484938899</v>
      </c>
      <c r="D20" s="140">
        <f t="shared" ca="1" si="2"/>
        <v>6.4190998660364831E-2</v>
      </c>
      <c r="H20" s="132"/>
    </row>
    <row r="21" spans="1:8" x14ac:dyDescent="0.25">
      <c r="A21" s="47">
        <v>21</v>
      </c>
      <c r="B21" s="153">
        <f t="shared" ca="1" si="0"/>
        <v>2992994.7246079007</v>
      </c>
      <c r="C21" s="139">
        <f t="shared" ca="1" si="1"/>
        <v>0.59032437462483867</v>
      </c>
      <c r="D21" s="140">
        <f t="shared" ca="1" si="2"/>
        <v>3.9545211620804391E-2</v>
      </c>
      <c r="H21" s="132"/>
    </row>
    <row r="22" spans="1:8" x14ac:dyDescent="0.25">
      <c r="A22" s="47">
        <v>22</v>
      </c>
      <c r="B22" s="153">
        <f t="shared" ca="1" si="0"/>
        <v>2452832.0417642952</v>
      </c>
      <c r="C22" s="139">
        <f t="shared" ca="1" si="1"/>
        <v>0.4837851965489065</v>
      </c>
      <c r="D22" s="140">
        <f t="shared" ca="1" si="2"/>
        <v>3.2408263657920752E-2</v>
      </c>
      <c r="H22" s="132"/>
    </row>
    <row r="23" spans="1:8" x14ac:dyDescent="0.25">
      <c r="A23" s="47">
        <v>23</v>
      </c>
      <c r="B23" s="153">
        <f t="shared" ca="1" si="0"/>
        <v>3930718.9039932992</v>
      </c>
      <c r="C23" s="139">
        <f t="shared" ca="1" si="1"/>
        <v>0.77527673528721663</v>
      </c>
      <c r="D23" s="140">
        <f t="shared" ca="1" si="2"/>
        <v>5.1934976564542719E-2</v>
      </c>
    </row>
    <row r="24" spans="1:8" x14ac:dyDescent="0.25">
      <c r="A24" s="47">
        <v>24</v>
      </c>
      <c r="B24" s="153">
        <f t="shared" ca="1" si="0"/>
        <v>3094918.423421327</v>
      </c>
      <c r="C24" s="139">
        <f t="shared" ca="1" si="1"/>
        <v>0.6104273314616131</v>
      </c>
      <c r="D24" s="140">
        <f t="shared" ca="1" si="2"/>
        <v>4.0891887645861567E-2</v>
      </c>
    </row>
    <row r="25" spans="1:8" x14ac:dyDescent="0.25">
      <c r="A25" s="47">
        <v>25</v>
      </c>
      <c r="B25" s="153">
        <f t="shared" ca="1" si="0"/>
        <v>1621060.7107351699</v>
      </c>
      <c r="C25" s="139">
        <f t="shared" ca="1" si="1"/>
        <v>0.31973048346050847</v>
      </c>
      <c r="D25" s="140">
        <f t="shared" ca="1" si="2"/>
        <v>2.1418410239460749E-2</v>
      </c>
    </row>
    <row r="26" spans="1:8" x14ac:dyDescent="0.25">
      <c r="A26" s="47">
        <v>26</v>
      </c>
      <c r="B26" s="153">
        <f t="shared" ca="1" si="0"/>
        <v>2469758.9988070182</v>
      </c>
      <c r="C26" s="139">
        <f t="shared" ca="1" si="1"/>
        <v>0.48712379091674518</v>
      </c>
      <c r="D26" s="140">
        <f t="shared" ca="1" si="2"/>
        <v>3.2631912598176882E-2</v>
      </c>
    </row>
    <row r="27" spans="1:8" x14ac:dyDescent="0.25">
      <c r="A27" s="47"/>
      <c r="B27" s="153" t="str">
        <f t="shared" si="0"/>
        <v/>
      </c>
      <c r="C27" s="139" t="str">
        <f t="shared" ca="1" si="1"/>
        <v/>
      </c>
      <c r="D27" s="140" t="str">
        <f t="shared" si="2"/>
        <v/>
      </c>
    </row>
    <row r="28" spans="1:8" x14ac:dyDescent="0.25">
      <c r="A28" s="47"/>
      <c r="B28" s="153" t="str">
        <f t="shared" si="0"/>
        <v/>
      </c>
      <c r="C28" s="139" t="str">
        <f t="shared" ca="1" si="1"/>
        <v/>
      </c>
      <c r="D28" s="140" t="str">
        <f t="shared" si="2"/>
        <v/>
      </c>
    </row>
    <row r="29" spans="1:8" x14ac:dyDescent="0.25">
      <c r="A29" s="47"/>
      <c r="B29" s="153" t="str">
        <f t="shared" si="0"/>
        <v/>
      </c>
      <c r="C29" s="139" t="str">
        <f t="shared" ca="1" si="1"/>
        <v/>
      </c>
      <c r="D29" s="140" t="str">
        <f t="shared" si="2"/>
        <v/>
      </c>
    </row>
    <row r="30" spans="1:8" x14ac:dyDescent="0.25">
      <c r="A30" s="47"/>
      <c r="B30" s="153" t="str">
        <f t="shared" si="0"/>
        <v/>
      </c>
      <c r="C30" s="139" t="str">
        <f t="shared" ca="1" si="1"/>
        <v/>
      </c>
      <c r="D30" s="140" t="str">
        <f t="shared" si="2"/>
        <v/>
      </c>
    </row>
    <row r="31" spans="1:8" x14ac:dyDescent="0.25">
      <c r="A31" s="47"/>
      <c r="B31" s="153" t="str">
        <f t="shared" si="0"/>
        <v/>
      </c>
      <c r="C31" s="139" t="str">
        <f t="shared" ca="1" si="1"/>
        <v/>
      </c>
      <c r="D31" s="140" t="str">
        <f t="shared" si="2"/>
        <v/>
      </c>
    </row>
    <row r="32" spans="1:8" x14ac:dyDescent="0.25">
      <c r="A32" s="47"/>
      <c r="B32" s="149" t="str">
        <f t="shared" si="0"/>
        <v/>
      </c>
      <c r="C32" s="139" t="str">
        <f t="shared" ca="1" si="1"/>
        <v/>
      </c>
      <c r="D32" s="140" t="str">
        <f t="shared" si="2"/>
        <v/>
      </c>
    </row>
    <row r="33" spans="1:4" x14ac:dyDescent="0.25">
      <c r="A33" s="47"/>
      <c r="B33" s="149" t="str">
        <f t="shared" si="0"/>
        <v/>
      </c>
      <c r="C33" s="139" t="str">
        <f t="shared" ca="1" si="1"/>
        <v/>
      </c>
      <c r="D33" s="140" t="str">
        <f t="shared" si="2"/>
        <v/>
      </c>
    </row>
    <row r="34" spans="1:4" x14ac:dyDescent="0.25">
      <c r="A34" s="47"/>
      <c r="B34" s="149" t="str">
        <f t="shared" si="0"/>
        <v/>
      </c>
      <c r="C34" s="139" t="str">
        <f t="shared" ca="1" si="1"/>
        <v/>
      </c>
      <c r="D34" s="140" t="str">
        <f t="shared" si="2"/>
        <v/>
      </c>
    </row>
    <row r="35" spans="1:4" x14ac:dyDescent="0.25">
      <c r="A35" s="47"/>
      <c r="B35" s="149" t="str">
        <f t="shared" si="0"/>
        <v/>
      </c>
      <c r="C35" s="139" t="str">
        <f t="shared" ca="1" si="1"/>
        <v/>
      </c>
      <c r="D35" s="140" t="str">
        <f t="shared" si="2"/>
        <v/>
      </c>
    </row>
    <row r="36" spans="1:4" x14ac:dyDescent="0.25">
      <c r="A36" s="47"/>
      <c r="B36" s="149" t="str">
        <f t="shared" si="0"/>
        <v/>
      </c>
      <c r="C36" s="139" t="str">
        <f t="shared" ca="1" si="1"/>
        <v/>
      </c>
      <c r="D36" s="140" t="str">
        <f t="shared" si="2"/>
        <v/>
      </c>
    </row>
    <row r="37" spans="1:4" x14ac:dyDescent="0.25">
      <c r="A37" s="47"/>
      <c r="B37" s="149" t="str">
        <f t="shared" si="0"/>
        <v/>
      </c>
      <c r="C37" s="139" t="str">
        <f t="shared" ca="1" si="1"/>
        <v/>
      </c>
      <c r="D37" s="140" t="str">
        <f t="shared" si="2"/>
        <v/>
      </c>
    </row>
    <row r="38" spans="1:4" x14ac:dyDescent="0.25">
      <c r="A38" s="47"/>
      <c r="B38" s="149" t="str">
        <f t="shared" si="0"/>
        <v/>
      </c>
      <c r="C38" s="139" t="str">
        <f t="shared" ca="1" si="1"/>
        <v/>
      </c>
      <c r="D38" s="140" t="str">
        <f t="shared" si="2"/>
        <v/>
      </c>
    </row>
    <row r="39" spans="1:4" x14ac:dyDescent="0.25">
      <c r="A39" s="47"/>
      <c r="B39" s="149" t="str">
        <f t="shared" si="0"/>
        <v/>
      </c>
      <c r="C39" s="139" t="str">
        <f t="shared" ca="1" si="1"/>
        <v/>
      </c>
      <c r="D39" s="140" t="str">
        <f t="shared" si="2"/>
        <v/>
      </c>
    </row>
    <row r="40" spans="1:4" x14ac:dyDescent="0.25">
      <c r="A40" s="47"/>
      <c r="B40" s="149" t="str">
        <f t="shared" si="0"/>
        <v/>
      </c>
      <c r="C40" s="139" t="str">
        <f t="shared" ca="1" si="1"/>
        <v/>
      </c>
      <c r="D40" s="140" t="str">
        <f t="shared" si="2"/>
        <v/>
      </c>
    </row>
    <row r="41" spans="1:4" x14ac:dyDescent="0.25">
      <c r="A41" s="47"/>
      <c r="B41" s="149" t="str">
        <f t="shared" si="0"/>
        <v/>
      </c>
      <c r="C41" s="139" t="str">
        <f t="shared" ca="1" si="1"/>
        <v/>
      </c>
      <c r="D41" s="140" t="str">
        <f t="shared" si="2"/>
        <v/>
      </c>
    </row>
    <row r="42" spans="1:4" x14ac:dyDescent="0.25">
      <c r="A42" s="47"/>
      <c r="B42" s="149" t="str">
        <f t="shared" si="0"/>
        <v/>
      </c>
      <c r="C42" s="139" t="str">
        <f t="shared" ca="1" si="1"/>
        <v/>
      </c>
      <c r="D42" s="140" t="str">
        <f t="shared" si="2"/>
        <v/>
      </c>
    </row>
    <row r="43" spans="1:4" x14ac:dyDescent="0.25">
      <c r="A43" s="47"/>
      <c r="B43" s="149" t="str">
        <f t="shared" si="0"/>
        <v/>
      </c>
      <c r="C43" s="139" t="str">
        <f t="shared" ca="1" si="1"/>
        <v/>
      </c>
      <c r="D43" s="140" t="str">
        <f t="shared" si="2"/>
        <v/>
      </c>
    </row>
    <row r="44" spans="1:4" x14ac:dyDescent="0.25">
      <c r="A44" s="47"/>
      <c r="B44" s="149" t="str">
        <f t="shared" si="0"/>
        <v/>
      </c>
      <c r="C44" s="139" t="str">
        <f t="shared" ca="1" si="1"/>
        <v/>
      </c>
      <c r="D44" s="140" t="str">
        <f t="shared" si="2"/>
        <v/>
      </c>
    </row>
    <row r="45" spans="1:4" x14ac:dyDescent="0.25">
      <c r="A45" s="47"/>
      <c r="B45" s="149" t="str">
        <f t="shared" si="0"/>
        <v/>
      </c>
      <c r="C45" s="139" t="str">
        <f t="shared" ca="1" si="1"/>
        <v/>
      </c>
      <c r="D45" s="140" t="str">
        <f t="shared" si="2"/>
        <v/>
      </c>
    </row>
    <row r="46" spans="1:4" x14ac:dyDescent="0.25">
      <c r="A46" s="47"/>
      <c r="B46" s="149" t="str">
        <f t="shared" si="0"/>
        <v/>
      </c>
      <c r="C46" s="139" t="str">
        <f t="shared" ca="1" si="1"/>
        <v/>
      </c>
      <c r="D46" s="140" t="str">
        <f t="shared" si="2"/>
        <v/>
      </c>
    </row>
    <row r="47" spans="1:4" x14ac:dyDescent="0.25">
      <c r="A47" s="47"/>
      <c r="B47" s="149" t="str">
        <f t="shared" si="0"/>
        <v/>
      </c>
      <c r="C47" s="139" t="str">
        <f t="shared" ca="1" si="1"/>
        <v/>
      </c>
      <c r="D47" s="140" t="str">
        <f t="shared" si="2"/>
        <v/>
      </c>
    </row>
    <row r="48" spans="1:4" x14ac:dyDescent="0.25">
      <c r="A48" s="47"/>
      <c r="B48" s="149" t="str">
        <f t="shared" si="0"/>
        <v/>
      </c>
      <c r="C48" s="139" t="str">
        <f t="shared" ca="1" si="1"/>
        <v/>
      </c>
      <c r="D48" s="140" t="str">
        <f t="shared" si="2"/>
        <v/>
      </c>
    </row>
    <row r="49" spans="1:4" x14ac:dyDescent="0.25">
      <c r="A49" s="47"/>
      <c r="B49" s="149" t="str">
        <f t="shared" si="0"/>
        <v/>
      </c>
      <c r="C49" s="139" t="str">
        <f t="shared" ca="1" si="1"/>
        <v/>
      </c>
      <c r="D49" s="140" t="str">
        <f t="shared" si="2"/>
        <v/>
      </c>
    </row>
    <row r="50" spans="1:4" x14ac:dyDescent="0.25">
      <c r="A50" s="47"/>
      <c r="B50" s="149" t="str">
        <f t="shared" si="0"/>
        <v/>
      </c>
      <c r="C50" s="139" t="str">
        <f t="shared" ca="1" si="1"/>
        <v/>
      </c>
      <c r="D50" s="140" t="str">
        <f t="shared" si="2"/>
        <v/>
      </c>
    </row>
    <row r="51" spans="1:4" x14ac:dyDescent="0.25">
      <c r="A51" s="47"/>
      <c r="B51" s="149" t="str">
        <f t="shared" si="0"/>
        <v/>
      </c>
      <c r="C51" s="139" t="str">
        <f t="shared" ca="1" si="1"/>
        <v/>
      </c>
      <c r="D51" s="140" t="str">
        <f t="shared" si="2"/>
        <v/>
      </c>
    </row>
    <row r="52" spans="1:4" x14ac:dyDescent="0.25">
      <c r="A52" s="47"/>
      <c r="B52" s="149" t="str">
        <f t="shared" si="0"/>
        <v/>
      </c>
      <c r="C52" s="139" t="str">
        <f t="shared" ca="1" si="1"/>
        <v/>
      </c>
      <c r="D52" s="140" t="str">
        <f t="shared" si="2"/>
        <v/>
      </c>
    </row>
    <row r="53" spans="1:4" x14ac:dyDescent="0.25">
      <c r="A53" s="47"/>
      <c r="B53" s="149" t="str">
        <f t="shared" si="0"/>
        <v/>
      </c>
      <c r="C53" s="139" t="str">
        <f t="shared" ca="1" si="1"/>
        <v/>
      </c>
      <c r="D53" s="140" t="str">
        <f t="shared" si="2"/>
        <v/>
      </c>
    </row>
    <row r="54" spans="1:4" x14ac:dyDescent="0.25">
      <c r="A54" s="47"/>
      <c r="B54" s="149" t="str">
        <f t="shared" si="0"/>
        <v/>
      </c>
      <c r="C54" s="139" t="str">
        <f t="shared" ca="1" si="1"/>
        <v/>
      </c>
      <c r="D54" s="140" t="str">
        <f t="shared" si="2"/>
        <v/>
      </c>
    </row>
    <row r="55" spans="1:4" x14ac:dyDescent="0.25">
      <c r="A55" s="47"/>
      <c r="B55" s="149" t="str">
        <f t="shared" si="0"/>
        <v/>
      </c>
      <c r="C55" s="139" t="str">
        <f t="shared" ca="1" si="1"/>
        <v/>
      </c>
      <c r="D55" s="140" t="str">
        <f t="shared" si="2"/>
        <v/>
      </c>
    </row>
    <row r="56" spans="1:4" x14ac:dyDescent="0.25">
      <c r="A56" s="47"/>
      <c r="B56" s="149" t="str">
        <f t="shared" si="0"/>
        <v/>
      </c>
      <c r="C56" s="139" t="str">
        <f t="shared" ca="1" si="1"/>
        <v/>
      </c>
      <c r="D56" s="140" t="str">
        <f t="shared" si="2"/>
        <v/>
      </c>
    </row>
    <row r="57" spans="1:4" x14ac:dyDescent="0.25">
      <c r="A57" s="47"/>
      <c r="B57" s="149" t="str">
        <f t="shared" si="0"/>
        <v/>
      </c>
      <c r="C57" s="139" t="str">
        <f t="shared" ca="1" si="1"/>
        <v/>
      </c>
      <c r="D57" s="140" t="str">
        <f t="shared" si="2"/>
        <v/>
      </c>
    </row>
    <row r="58" spans="1:4" x14ac:dyDescent="0.25">
      <c r="A58" s="47"/>
      <c r="B58" s="149" t="str">
        <f t="shared" si="0"/>
        <v/>
      </c>
      <c r="C58" s="139" t="str">
        <f t="shared" ca="1" si="1"/>
        <v/>
      </c>
      <c r="D58" s="140" t="str">
        <f t="shared" si="2"/>
        <v/>
      </c>
    </row>
    <row r="59" spans="1:4" x14ac:dyDescent="0.25">
      <c r="A59" s="47"/>
      <c r="B59" s="149" t="str">
        <f t="shared" si="0"/>
        <v/>
      </c>
      <c r="C59" s="139" t="str">
        <f t="shared" ca="1" si="1"/>
        <v/>
      </c>
      <c r="D59" s="140" t="str">
        <f t="shared" si="2"/>
        <v/>
      </c>
    </row>
    <row r="60" spans="1:4" x14ac:dyDescent="0.25">
      <c r="A60" s="47"/>
      <c r="B60" s="149" t="str">
        <f t="shared" si="0"/>
        <v/>
      </c>
      <c r="C60" s="139" t="str">
        <f t="shared" ca="1" si="1"/>
        <v/>
      </c>
      <c r="D60" s="140" t="str">
        <f t="shared" si="2"/>
        <v/>
      </c>
    </row>
    <row r="61" spans="1:4" x14ac:dyDescent="0.25">
      <c r="A61" s="47"/>
      <c r="B61" s="149" t="str">
        <f t="shared" si="0"/>
        <v/>
      </c>
      <c r="C61" s="139" t="str">
        <f t="shared" ca="1" si="1"/>
        <v/>
      </c>
      <c r="D61" s="140" t="str">
        <f t="shared" si="2"/>
        <v/>
      </c>
    </row>
    <row r="62" spans="1:4" x14ac:dyDescent="0.25">
      <c r="A62" s="47"/>
      <c r="B62" s="149" t="str">
        <f t="shared" si="0"/>
        <v/>
      </c>
      <c r="C62" s="139" t="str">
        <f t="shared" ca="1" si="1"/>
        <v/>
      </c>
      <c r="D62" s="140" t="str">
        <f t="shared" si="2"/>
        <v/>
      </c>
    </row>
    <row r="63" spans="1:4" x14ac:dyDescent="0.25">
      <c r="A63" s="47"/>
      <c r="B63" s="149" t="str">
        <f t="shared" si="0"/>
        <v/>
      </c>
      <c r="C63" s="139" t="str">
        <f t="shared" ca="1" si="1"/>
        <v/>
      </c>
      <c r="D63" s="140" t="str">
        <f t="shared" si="2"/>
        <v/>
      </c>
    </row>
    <row r="64" spans="1:4" x14ac:dyDescent="0.25">
      <c r="A64" s="47"/>
      <c r="B64" s="149" t="str">
        <f t="shared" si="0"/>
        <v/>
      </c>
      <c r="C64" s="139" t="str">
        <f t="shared" ca="1" si="1"/>
        <v/>
      </c>
      <c r="D64" s="140" t="str">
        <f t="shared" si="2"/>
        <v/>
      </c>
    </row>
    <row r="65" spans="1:4" x14ac:dyDescent="0.25">
      <c r="A65" s="47"/>
      <c r="B65" s="149" t="str">
        <f t="shared" si="0"/>
        <v/>
      </c>
      <c r="C65" s="139" t="str">
        <f t="shared" ca="1" si="1"/>
        <v/>
      </c>
      <c r="D65" s="140" t="str">
        <f t="shared" si="2"/>
        <v/>
      </c>
    </row>
    <row r="66" spans="1:4" x14ac:dyDescent="0.25">
      <c r="A66" s="47"/>
      <c r="B66" s="149" t="str">
        <f t="shared" ref="B66:B100" si="3">IF(A66&gt;0,D66*$E$1,"")</f>
        <v/>
      </c>
      <c r="C66" s="139" t="str">
        <f t="shared" ref="C66:C100" ca="1" si="4">IF(A66&gt;0,RAND(),"")</f>
        <v/>
      </c>
      <c r="D66" s="140" t="str">
        <f t="shared" ref="D66:D100" si="5">IF(A66&gt;0,C66/SUM($C$1:$C$100),"")</f>
        <v/>
      </c>
    </row>
    <row r="67" spans="1:4" x14ac:dyDescent="0.25">
      <c r="A67" s="47"/>
      <c r="B67" s="149" t="str">
        <f t="shared" si="3"/>
        <v/>
      </c>
      <c r="C67" s="139" t="str">
        <f t="shared" ca="1" si="4"/>
        <v/>
      </c>
      <c r="D67" s="140" t="str">
        <f t="shared" si="5"/>
        <v/>
      </c>
    </row>
    <row r="68" spans="1:4" x14ac:dyDescent="0.25">
      <c r="A68" s="47"/>
      <c r="B68" s="149" t="str">
        <f t="shared" si="3"/>
        <v/>
      </c>
      <c r="C68" s="139" t="str">
        <f t="shared" ca="1" si="4"/>
        <v/>
      </c>
      <c r="D68" s="140" t="str">
        <f t="shared" si="5"/>
        <v/>
      </c>
    </row>
    <row r="69" spans="1:4" x14ac:dyDescent="0.25">
      <c r="A69" s="47"/>
      <c r="B69" s="149" t="str">
        <f t="shared" si="3"/>
        <v/>
      </c>
      <c r="C69" s="139" t="str">
        <f t="shared" ca="1" si="4"/>
        <v/>
      </c>
      <c r="D69" s="140" t="str">
        <f t="shared" si="5"/>
        <v/>
      </c>
    </row>
    <row r="70" spans="1:4" x14ac:dyDescent="0.25">
      <c r="A70" s="47"/>
      <c r="B70" s="149" t="str">
        <f t="shared" si="3"/>
        <v/>
      </c>
      <c r="C70" s="139" t="str">
        <f t="shared" ca="1" si="4"/>
        <v/>
      </c>
      <c r="D70" s="140" t="str">
        <f t="shared" si="5"/>
        <v/>
      </c>
    </row>
    <row r="71" spans="1:4" x14ac:dyDescent="0.25">
      <c r="A71" s="47"/>
      <c r="B71" s="149" t="str">
        <f t="shared" si="3"/>
        <v/>
      </c>
      <c r="C71" s="139" t="str">
        <f t="shared" ca="1" si="4"/>
        <v/>
      </c>
      <c r="D71" s="140" t="str">
        <f t="shared" si="5"/>
        <v/>
      </c>
    </row>
    <row r="72" spans="1:4" x14ac:dyDescent="0.25">
      <c r="A72" s="47"/>
      <c r="B72" s="149" t="str">
        <f t="shared" si="3"/>
        <v/>
      </c>
      <c r="C72" s="139" t="str">
        <f t="shared" ca="1" si="4"/>
        <v/>
      </c>
      <c r="D72" s="140" t="str">
        <f t="shared" si="5"/>
        <v/>
      </c>
    </row>
    <row r="73" spans="1:4" x14ac:dyDescent="0.25">
      <c r="A73" s="47"/>
      <c r="B73" s="149" t="str">
        <f t="shared" si="3"/>
        <v/>
      </c>
      <c r="C73" s="139" t="str">
        <f t="shared" ca="1" si="4"/>
        <v/>
      </c>
      <c r="D73" s="140" t="str">
        <f t="shared" si="5"/>
        <v/>
      </c>
    </row>
    <row r="74" spans="1:4" x14ac:dyDescent="0.25">
      <c r="A74" s="47"/>
      <c r="B74" s="149" t="str">
        <f t="shared" si="3"/>
        <v/>
      </c>
      <c r="C74" s="139" t="str">
        <f t="shared" ca="1" si="4"/>
        <v/>
      </c>
      <c r="D74" s="140" t="str">
        <f t="shared" si="5"/>
        <v/>
      </c>
    </row>
    <row r="75" spans="1:4" x14ac:dyDescent="0.25">
      <c r="A75" s="47"/>
      <c r="B75" s="149" t="str">
        <f t="shared" si="3"/>
        <v/>
      </c>
      <c r="C75" s="139" t="str">
        <f t="shared" ca="1" si="4"/>
        <v/>
      </c>
      <c r="D75" s="140" t="str">
        <f t="shared" si="5"/>
        <v/>
      </c>
    </row>
    <row r="76" spans="1:4" x14ac:dyDescent="0.25">
      <c r="A76" s="47"/>
      <c r="B76" s="149" t="str">
        <f t="shared" si="3"/>
        <v/>
      </c>
      <c r="C76" s="139" t="str">
        <f t="shared" ca="1" si="4"/>
        <v/>
      </c>
      <c r="D76" s="140" t="str">
        <f t="shared" si="5"/>
        <v/>
      </c>
    </row>
    <row r="77" spans="1:4" x14ac:dyDescent="0.25">
      <c r="A77" s="47"/>
      <c r="B77" s="149" t="str">
        <f t="shared" si="3"/>
        <v/>
      </c>
      <c r="C77" s="139" t="str">
        <f t="shared" ca="1" si="4"/>
        <v/>
      </c>
      <c r="D77" s="140" t="str">
        <f t="shared" si="5"/>
        <v/>
      </c>
    </row>
    <row r="78" spans="1:4" x14ac:dyDescent="0.25">
      <c r="A78" s="47"/>
      <c r="B78" s="149" t="str">
        <f t="shared" si="3"/>
        <v/>
      </c>
      <c r="C78" s="139" t="str">
        <f t="shared" ca="1" si="4"/>
        <v/>
      </c>
      <c r="D78" s="140" t="str">
        <f t="shared" si="5"/>
        <v/>
      </c>
    </row>
    <row r="79" spans="1:4" x14ac:dyDescent="0.25">
      <c r="A79" s="47"/>
      <c r="B79" s="149" t="str">
        <f t="shared" si="3"/>
        <v/>
      </c>
      <c r="C79" s="139" t="str">
        <f t="shared" ca="1" si="4"/>
        <v/>
      </c>
      <c r="D79" s="140" t="str">
        <f t="shared" si="5"/>
        <v/>
      </c>
    </row>
    <row r="80" spans="1:4" x14ac:dyDescent="0.25">
      <c r="A80" s="47"/>
      <c r="B80" s="149" t="str">
        <f t="shared" si="3"/>
        <v/>
      </c>
      <c r="C80" s="139" t="str">
        <f t="shared" ca="1" si="4"/>
        <v/>
      </c>
      <c r="D80" s="140" t="str">
        <f t="shared" si="5"/>
        <v/>
      </c>
    </row>
    <row r="81" spans="1:4" x14ac:dyDescent="0.25">
      <c r="A81" s="47"/>
      <c r="B81" s="149" t="str">
        <f t="shared" si="3"/>
        <v/>
      </c>
      <c r="C81" s="139" t="str">
        <f t="shared" ca="1" si="4"/>
        <v/>
      </c>
      <c r="D81" s="140" t="str">
        <f t="shared" si="5"/>
        <v/>
      </c>
    </row>
    <row r="82" spans="1:4" x14ac:dyDescent="0.25">
      <c r="A82" s="47"/>
      <c r="B82" s="149" t="str">
        <f t="shared" si="3"/>
        <v/>
      </c>
      <c r="C82" s="139" t="str">
        <f t="shared" ca="1" si="4"/>
        <v/>
      </c>
      <c r="D82" s="140" t="str">
        <f t="shared" si="5"/>
        <v/>
      </c>
    </row>
    <row r="83" spans="1:4" x14ac:dyDescent="0.25">
      <c r="A83" s="47"/>
      <c r="B83" s="149" t="str">
        <f t="shared" si="3"/>
        <v/>
      </c>
      <c r="C83" s="139" t="str">
        <f t="shared" ca="1" si="4"/>
        <v/>
      </c>
      <c r="D83" s="140" t="str">
        <f t="shared" si="5"/>
        <v/>
      </c>
    </row>
    <row r="84" spans="1:4" x14ac:dyDescent="0.25">
      <c r="A84" s="47"/>
      <c r="B84" s="149" t="str">
        <f t="shared" si="3"/>
        <v/>
      </c>
      <c r="C84" s="139" t="str">
        <f t="shared" ca="1" si="4"/>
        <v/>
      </c>
      <c r="D84" s="140" t="str">
        <f t="shared" si="5"/>
        <v/>
      </c>
    </row>
    <row r="85" spans="1:4" x14ac:dyDescent="0.25">
      <c r="A85" s="47"/>
      <c r="B85" s="149" t="str">
        <f t="shared" si="3"/>
        <v/>
      </c>
      <c r="C85" s="139" t="str">
        <f t="shared" ca="1" si="4"/>
        <v/>
      </c>
      <c r="D85" s="140" t="str">
        <f t="shared" si="5"/>
        <v/>
      </c>
    </row>
    <row r="86" spans="1:4" x14ac:dyDescent="0.25">
      <c r="A86" s="47"/>
      <c r="B86" s="149" t="str">
        <f t="shared" si="3"/>
        <v/>
      </c>
      <c r="C86" s="139" t="str">
        <f t="shared" ca="1" si="4"/>
        <v/>
      </c>
      <c r="D86" s="140" t="str">
        <f t="shared" si="5"/>
        <v/>
      </c>
    </row>
    <row r="87" spans="1:4" x14ac:dyDescent="0.25">
      <c r="A87" s="47"/>
      <c r="B87" s="149" t="str">
        <f t="shared" si="3"/>
        <v/>
      </c>
      <c r="C87" s="139" t="str">
        <f t="shared" ca="1" si="4"/>
        <v/>
      </c>
      <c r="D87" s="140" t="str">
        <f t="shared" si="5"/>
        <v/>
      </c>
    </row>
    <row r="88" spans="1:4" x14ac:dyDescent="0.25">
      <c r="A88" s="47"/>
      <c r="B88" s="149" t="str">
        <f t="shared" si="3"/>
        <v/>
      </c>
      <c r="C88" s="139" t="str">
        <f t="shared" ca="1" si="4"/>
        <v/>
      </c>
      <c r="D88" s="140" t="str">
        <f t="shared" si="5"/>
        <v/>
      </c>
    </row>
    <row r="89" spans="1:4" x14ac:dyDescent="0.25">
      <c r="A89" s="47"/>
      <c r="B89" s="149" t="str">
        <f t="shared" si="3"/>
        <v/>
      </c>
      <c r="C89" s="139" t="str">
        <f t="shared" ca="1" si="4"/>
        <v/>
      </c>
      <c r="D89" s="140" t="str">
        <f t="shared" si="5"/>
        <v/>
      </c>
    </row>
    <row r="90" spans="1:4" x14ac:dyDescent="0.25">
      <c r="A90" s="47"/>
      <c r="B90" s="149" t="str">
        <f t="shared" si="3"/>
        <v/>
      </c>
      <c r="C90" s="139" t="str">
        <f t="shared" ca="1" si="4"/>
        <v/>
      </c>
      <c r="D90" s="140" t="str">
        <f t="shared" si="5"/>
        <v/>
      </c>
    </row>
    <row r="91" spans="1:4" x14ac:dyDescent="0.25">
      <c r="A91" s="47"/>
      <c r="B91" s="149" t="str">
        <f t="shared" si="3"/>
        <v/>
      </c>
      <c r="C91" s="139" t="str">
        <f t="shared" ca="1" si="4"/>
        <v/>
      </c>
      <c r="D91" s="140" t="str">
        <f t="shared" si="5"/>
        <v/>
      </c>
    </row>
    <row r="92" spans="1:4" x14ac:dyDescent="0.25">
      <c r="A92" s="47"/>
      <c r="B92" s="149" t="str">
        <f t="shared" si="3"/>
        <v/>
      </c>
      <c r="C92" s="139" t="str">
        <f t="shared" ca="1" si="4"/>
        <v/>
      </c>
      <c r="D92" s="140" t="str">
        <f t="shared" si="5"/>
        <v/>
      </c>
    </row>
    <row r="93" spans="1:4" x14ac:dyDescent="0.25">
      <c r="A93" s="47"/>
      <c r="B93" s="149" t="str">
        <f t="shared" si="3"/>
        <v/>
      </c>
      <c r="C93" s="139" t="str">
        <f t="shared" ca="1" si="4"/>
        <v/>
      </c>
      <c r="D93" s="140" t="str">
        <f t="shared" si="5"/>
        <v/>
      </c>
    </row>
    <row r="94" spans="1:4" x14ac:dyDescent="0.25">
      <c r="A94" s="47"/>
      <c r="B94" s="149" t="str">
        <f t="shared" si="3"/>
        <v/>
      </c>
      <c r="C94" s="139" t="str">
        <f t="shared" ca="1" si="4"/>
        <v/>
      </c>
      <c r="D94" s="140" t="str">
        <f t="shared" si="5"/>
        <v/>
      </c>
    </row>
    <row r="95" spans="1:4" x14ac:dyDescent="0.25">
      <c r="A95" s="47"/>
      <c r="B95" s="149" t="str">
        <f t="shared" si="3"/>
        <v/>
      </c>
      <c r="C95" s="139" t="str">
        <f t="shared" ca="1" si="4"/>
        <v/>
      </c>
      <c r="D95" s="140" t="str">
        <f t="shared" si="5"/>
        <v/>
      </c>
    </row>
    <row r="96" spans="1:4" x14ac:dyDescent="0.25">
      <c r="A96" s="47"/>
      <c r="B96" s="149" t="str">
        <f t="shared" si="3"/>
        <v/>
      </c>
      <c r="C96" s="139" t="str">
        <f t="shared" ca="1" si="4"/>
        <v/>
      </c>
      <c r="D96" s="140" t="str">
        <f t="shared" si="5"/>
        <v/>
      </c>
    </row>
    <row r="97" spans="1:8" x14ac:dyDescent="0.25">
      <c r="A97" s="47"/>
      <c r="B97" s="149" t="str">
        <f t="shared" si="3"/>
        <v/>
      </c>
      <c r="C97" s="139" t="str">
        <f t="shared" ca="1" si="4"/>
        <v/>
      </c>
      <c r="D97" s="140" t="str">
        <f t="shared" si="5"/>
        <v/>
      </c>
    </row>
    <row r="98" spans="1:8" x14ac:dyDescent="0.25">
      <c r="A98" s="47"/>
      <c r="B98" s="149" t="str">
        <f t="shared" si="3"/>
        <v/>
      </c>
      <c r="C98" s="139" t="str">
        <f t="shared" ca="1" si="4"/>
        <v/>
      </c>
      <c r="D98" s="140" t="str">
        <f t="shared" si="5"/>
        <v/>
      </c>
    </row>
    <row r="99" spans="1:8" x14ac:dyDescent="0.25">
      <c r="A99" s="47"/>
      <c r="B99" s="149" t="str">
        <f t="shared" si="3"/>
        <v/>
      </c>
      <c r="C99" s="139" t="str">
        <f t="shared" ca="1" si="4"/>
        <v/>
      </c>
      <c r="D99" s="140" t="str">
        <f t="shared" si="5"/>
        <v/>
      </c>
    </row>
    <row r="100" spans="1:8" x14ac:dyDescent="0.25">
      <c r="A100" s="141"/>
      <c r="B100" s="149" t="str">
        <f t="shared" si="3"/>
        <v/>
      </c>
      <c r="C100" s="139" t="str">
        <f t="shared" ca="1" si="4"/>
        <v/>
      </c>
      <c r="D100" s="140" t="str">
        <f t="shared" si="5"/>
        <v/>
      </c>
    </row>
    <row r="101" spans="1:8" s="145" customFormat="1" x14ac:dyDescent="0.25">
      <c r="A101" s="142"/>
      <c r="B101" s="143"/>
      <c r="C101" s="144"/>
      <c r="D101" s="147"/>
      <c r="E101" s="142"/>
      <c r="F101" s="142"/>
      <c r="G101" s="142"/>
      <c r="H101" s="142"/>
    </row>
    <row r="102" spans="1:8" x14ac:dyDescent="0.25">
      <c r="C102" s="139"/>
    </row>
    <row r="103" spans="1:8" x14ac:dyDescent="0.25">
      <c r="C103" s="139"/>
    </row>
    <row r="104" spans="1:8" x14ac:dyDescent="0.25">
      <c r="C104" s="139"/>
    </row>
    <row r="105" spans="1:8" x14ac:dyDescent="0.25">
      <c r="C105" s="139"/>
    </row>
    <row r="106" spans="1:8" x14ac:dyDescent="0.25">
      <c r="C106" s="139"/>
    </row>
    <row r="107" spans="1:8" x14ac:dyDescent="0.25">
      <c r="C107" s="139"/>
    </row>
    <row r="108" spans="1:8" x14ac:dyDescent="0.25">
      <c r="C108" s="139"/>
    </row>
    <row r="109" spans="1:8" x14ac:dyDescent="0.25">
      <c r="C109" s="139"/>
    </row>
    <row r="110" spans="1:8" x14ac:dyDescent="0.25">
      <c r="C110" s="139"/>
    </row>
    <row r="111" spans="1:8" x14ac:dyDescent="0.25">
      <c r="C111" s="139"/>
    </row>
    <row r="112" spans="1:8" x14ac:dyDescent="0.25">
      <c r="C112" s="139"/>
    </row>
    <row r="113" spans="3:3" x14ac:dyDescent="0.25">
      <c r="C113" s="139"/>
    </row>
  </sheetData>
  <conditionalFormatting sqref="B1:B100">
    <cfRule type="cellIs" dxfId="4" priority="3" operator="equal">
      <formula>$F$6</formula>
    </cfRule>
    <cfRule type="cellIs" dxfId="3" priority="5" operator="equal">
      <formula>$F$5</formula>
    </cfRule>
  </conditionalFormatting>
  <conditionalFormatting sqref="F5">
    <cfRule type="cellIs" dxfId="2" priority="4" operator="equal">
      <formula>$F$5</formula>
    </cfRule>
  </conditionalFormatting>
  <conditionalFormatting sqref="F6">
    <cfRule type="cellIs" dxfId="1" priority="1" operator="equal">
      <formula>$F$6</formula>
    </cfRule>
    <cfRule type="cellIs" dxfId="0" priority="2" operator="equal">
      <formula>$F$5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Кнопка1_Щелчок">
                <anchor moveWithCells="1" sizeWithCells="1">
                  <from>
                    <xdr:col>9</xdr:col>
                    <xdr:colOff>219075</xdr:colOff>
                    <xdr:row>3</xdr:row>
                    <xdr:rowOff>47625</xdr:rowOff>
                  </from>
                  <to>
                    <xdr:col>11</xdr:col>
                    <xdr:colOff>304800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43A51-2CA5-4822-8601-FF14FDEC312B}">
  <sheetPr codeName="Лист5"/>
  <dimension ref="A1:C10"/>
  <sheetViews>
    <sheetView workbookViewId="0">
      <selection activeCell="E21" sqref="E21"/>
    </sheetView>
  </sheetViews>
  <sheetFormatPr defaultRowHeight="15" x14ac:dyDescent="0.25"/>
  <cols>
    <col min="1" max="1" width="28.140625" customWidth="1"/>
  </cols>
  <sheetData>
    <row r="1" spans="1:3" ht="15.75" customHeight="1" x14ac:dyDescent="0.25">
      <c r="A1" t="s">
        <v>5</v>
      </c>
      <c r="C1" t="s">
        <v>100</v>
      </c>
    </row>
    <row r="2" spans="1:3" ht="15.75" customHeight="1" x14ac:dyDescent="0.25">
      <c r="A2" t="s">
        <v>0</v>
      </c>
      <c r="C2" t="s">
        <v>101</v>
      </c>
    </row>
    <row r="3" spans="1:3" ht="15.75" customHeight="1" x14ac:dyDescent="0.25">
      <c r="A3" t="s">
        <v>4</v>
      </c>
    </row>
    <row r="4" spans="1:3" ht="15.75" customHeight="1" x14ac:dyDescent="0.25">
      <c r="A4" t="s">
        <v>1</v>
      </c>
    </row>
    <row r="5" spans="1:3" ht="15.75" customHeight="1" x14ac:dyDescent="0.25">
      <c r="A5" t="s">
        <v>7</v>
      </c>
    </row>
    <row r="6" spans="1:3" ht="15.75" customHeight="1" x14ac:dyDescent="0.25">
      <c r="A6" t="s">
        <v>2</v>
      </c>
    </row>
    <row r="7" spans="1:3" ht="15.75" customHeight="1" x14ac:dyDescent="0.25">
      <c r="A7" t="s">
        <v>6</v>
      </c>
    </row>
    <row r="8" spans="1:3" ht="15.75" customHeight="1" x14ac:dyDescent="0.25">
      <c r="A8" t="s">
        <v>8</v>
      </c>
    </row>
    <row r="9" spans="1:3" ht="15.75" customHeight="1" x14ac:dyDescent="0.25">
      <c r="A9" t="s">
        <v>3</v>
      </c>
    </row>
    <row r="10" spans="1:3" x14ac:dyDescent="0.25">
      <c r="A10" t="s"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2</vt:i4>
      </vt:variant>
    </vt:vector>
  </HeadingPairs>
  <TitlesOfParts>
    <vt:vector size="8" baseType="lpstr">
      <vt:lpstr>База</vt:lpstr>
      <vt:lpstr>Провиант</vt:lpstr>
      <vt:lpstr>Энергия</vt:lpstr>
      <vt:lpstr>Промменпавер</vt:lpstr>
      <vt:lpstr>Распред нас</vt:lpstr>
      <vt:lpstr>Список</vt:lpstr>
      <vt:lpstr>страны</vt:lpstr>
      <vt:lpstr>электричество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LipatovKA</dc:creator>
  <cp:lastModifiedBy>LipatovKA</cp:lastModifiedBy>
  <dcterms:created xsi:type="dcterms:W3CDTF">2015-06-05T18:19:34Z</dcterms:created>
  <dcterms:modified xsi:type="dcterms:W3CDTF">2024-10-31T14:24:10Z</dcterms:modified>
</cp:coreProperties>
</file>